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\cm-bug-rep-for-poor\files\"/>
    </mc:Choice>
  </mc:AlternateContent>
  <xr:revisionPtr revIDLastSave="0" documentId="13_ncr:1_{C2538625-1109-4909-BEC5-EE6F32CC8C58}" xr6:coauthVersionLast="45" xr6:coauthVersionMax="45" xr10:uidLastSave="{00000000-0000-0000-0000-000000000000}"/>
  <bookViews>
    <workbookView xWindow="-120" yWindow="330" windowWidth="29040" windowHeight="15990" tabRatio="683" xr2:uid="{260924DB-3BB9-4622-90F4-6025E610FF4E}"/>
  </bookViews>
  <sheets>
    <sheet name="test cases" sheetId="1" r:id="rId1"/>
    <sheet name="bug-report template" sheetId="28" state="hidden" r:id="rId2"/>
    <sheet name="srvc_project" sheetId="38" r:id="rId3"/>
    <sheet name="site pages" sheetId="27" r:id="rId4"/>
    <sheet name="dict" sheetId="2" state="hidden" r:id="rId5"/>
    <sheet name="email_templates" sheetId="48" state="hidden" r:id="rId6"/>
  </sheets>
  <functionGroups builtInGroupCount="19"/>
  <definedNames>
    <definedName name="APP_NAME">srvc_project!$B$1</definedName>
    <definedName name="ATTCH_PATH">email_templates!$B$43:$J$43</definedName>
    <definedName name="BODY_MSG">email_templates!$B$19</definedName>
    <definedName name="BUG_REP_ID">email_templates!$B$11</definedName>
    <definedName name="CLIENT_EMAIL">srvc_project!$B$3</definedName>
    <definedName name="CLIENT_FNAME">srvc_project!$B$4</definedName>
    <definedName name="CLIENT_NAME">srvc_project!$B$2</definedName>
    <definedName name="CV_PATH">email_templates!#REF!</definedName>
    <definedName name="FOOTER_MSG">email_templates!$B$31</definedName>
    <definedName name="HEADER_MSG">email_templates!$B$7</definedName>
    <definedName name="ISSUE_BRIEF_DESCRIPTION">email_templates!$B$15</definedName>
    <definedName name="LIST_COMPONENTS">'site pages'!$A$1:$A$50</definedName>
    <definedName name="MAIL_ACCOUNT">email_templates!$B$45</definedName>
    <definedName name="MSG_SUBJECT">email_templates!$B$47</definedName>
    <definedName name="SELECT_BROWSER">dict!$C$1:$C$10</definedName>
    <definedName name="SELECT_COUNTRY">dict!$D$1:$D$10</definedName>
    <definedName name="SELECT_ISSUE_STATUS">dict!$G$2:$G$6</definedName>
    <definedName name="SELECT_OS">dict!$B$1:$B$6</definedName>
    <definedName name="SELECT_SEVERITY">dict!$F$1:$F$6</definedName>
    <definedName name="SELECT_TEST_TYPE">dict!$E$2:$E$9</definedName>
    <definedName name="TEST_CASES_SHEET">srvc_project!$B$5</definedName>
    <definedName name="TEST_RESULTS">dict!$A$1:$A$5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" i="1" l="1"/>
  <c r="M4" i="1"/>
  <c r="Q3" i="1"/>
  <c r="Q2" i="1"/>
  <c r="M3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B19" i="48"/>
  <c r="M2" i="1" l="1"/>
  <c r="B2" i="28" l="1"/>
  <c r="B3" i="48"/>
  <c r="B7" i="48" s="1"/>
  <c r="B7" i="28"/>
  <c r="B8" i="28"/>
  <c r="C2" i="27" l="1"/>
  <c r="E2" i="27" s="1"/>
  <c r="C3" i="27"/>
  <c r="E3" i="27" s="1"/>
  <c r="C4" i="27"/>
  <c r="E4" i="27" s="1"/>
  <c r="C5" i="27"/>
  <c r="E5" i="27" s="1"/>
  <c r="C6" i="27"/>
  <c r="C7" i="27"/>
  <c r="C8" i="27"/>
  <c r="E8" i="27" s="1"/>
  <c r="C9" i="27"/>
  <c r="C10" i="27"/>
  <c r="C11" i="27"/>
  <c r="C12" i="27"/>
  <c r="C13" i="27"/>
  <c r="C14" i="27"/>
  <c r="C15" i="27"/>
  <c r="C16" i="27"/>
  <c r="E16" i="27" s="1"/>
  <c r="C17" i="27"/>
  <c r="E17" i="27" s="1"/>
  <c r="C18" i="27"/>
  <c r="C19" i="27"/>
  <c r="C20" i="27"/>
  <c r="C21" i="27"/>
  <c r="C22" i="27"/>
  <c r="C23" i="27"/>
  <c r="C24" i="27"/>
  <c r="E24" i="27" s="1"/>
  <c r="C25" i="27"/>
  <c r="E25" i="27" s="1"/>
  <c r="C26" i="27"/>
  <c r="C27" i="27"/>
  <c r="C28" i="27"/>
  <c r="C29" i="27"/>
  <c r="E29" i="27" s="1"/>
  <c r="C30" i="27"/>
  <c r="C31" i="27"/>
  <c r="C32" i="27"/>
  <c r="E32" i="27" s="1"/>
  <c r="C33" i="27"/>
  <c r="E33" i="27" s="1"/>
  <c r="C34" i="27"/>
  <c r="C35" i="27"/>
  <c r="E35" i="27" s="1"/>
  <c r="C36" i="27"/>
  <c r="C37" i="27"/>
  <c r="E37" i="27" s="1"/>
  <c r="C38" i="27"/>
  <c r="C39" i="27"/>
  <c r="E39" i="27" s="1"/>
  <c r="C40" i="27"/>
  <c r="E40" i="27" s="1"/>
  <c r="C41" i="27"/>
  <c r="E41" i="27" s="1"/>
  <c r="C42" i="27"/>
  <c r="C43" i="27"/>
  <c r="C44" i="27"/>
  <c r="C45" i="27"/>
  <c r="E45" i="27" s="1"/>
  <c r="C46" i="27"/>
  <c r="C47" i="27"/>
  <c r="C48" i="27"/>
  <c r="E48" i="27" s="1"/>
  <c r="C49" i="27"/>
  <c r="E49" i="27" s="1"/>
  <c r="E6" i="27"/>
  <c r="E7" i="27"/>
  <c r="E10" i="27"/>
  <c r="E11" i="27"/>
  <c r="E12" i="27"/>
  <c r="E13" i="27"/>
  <c r="E14" i="27"/>
  <c r="E15" i="27"/>
  <c r="E18" i="27"/>
  <c r="E19" i="27"/>
  <c r="E20" i="27"/>
  <c r="E21" i="27"/>
  <c r="E22" i="27"/>
  <c r="E23" i="27"/>
  <c r="E26" i="27"/>
  <c r="E27" i="27"/>
  <c r="E28" i="27"/>
  <c r="E30" i="27"/>
  <c r="E31" i="27"/>
  <c r="E34" i="27"/>
  <c r="E36" i="27"/>
  <c r="E38" i="27"/>
  <c r="E42" i="27"/>
  <c r="E43" i="27"/>
  <c r="E44" i="27"/>
  <c r="E46" i="27"/>
  <c r="E47" i="27"/>
  <c r="E9" i="27" l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2" i="1"/>
</calcChain>
</file>

<file path=xl/sharedStrings.xml><?xml version="1.0" encoding="utf-8"?>
<sst xmlns="http://schemas.openxmlformats.org/spreadsheetml/2006/main" count="105" uniqueCount="93">
  <si>
    <t>Категория</t>
  </si>
  <si>
    <t>ОС</t>
  </si>
  <si>
    <t>Браузер</t>
  </si>
  <si>
    <t>Страна</t>
  </si>
  <si>
    <t>Функционал</t>
  </si>
  <si>
    <t>Действие</t>
  </si>
  <si>
    <t>Ожидание</t>
  </si>
  <si>
    <t>Результат</t>
  </si>
  <si>
    <t>Диагноз</t>
  </si>
  <si>
    <t>Opera</t>
  </si>
  <si>
    <t>RU</t>
  </si>
  <si>
    <t>Passed</t>
  </si>
  <si>
    <t>Failed</t>
  </si>
  <si>
    <t>Broken</t>
  </si>
  <si>
    <t>-select-</t>
  </si>
  <si>
    <t>Win10</t>
  </si>
  <si>
    <t>Android</t>
  </si>
  <si>
    <t>iOS</t>
  </si>
  <si>
    <t>Linux</t>
  </si>
  <si>
    <t>Chrome</t>
  </si>
  <si>
    <t>Firefox</t>
  </si>
  <si>
    <t>Safari</t>
  </si>
  <si>
    <t>IE11</t>
  </si>
  <si>
    <t>Edge</t>
  </si>
  <si>
    <t>Edge Chromium</t>
  </si>
  <si>
    <t>BY</t>
  </si>
  <si>
    <t>UA</t>
  </si>
  <si>
    <t>EE</t>
  </si>
  <si>
    <t>LV</t>
  </si>
  <si>
    <t>LT</t>
  </si>
  <si>
    <t>Раздел сайта</t>
  </si>
  <si>
    <t>UI</t>
  </si>
  <si>
    <t>FN</t>
  </si>
  <si>
    <t>Идентификатор</t>
  </si>
  <si>
    <t>is EN?</t>
  </si>
  <si>
    <t>is RU?</t>
  </si>
  <si>
    <t>EN</t>
  </si>
  <si>
    <t>email to use</t>
  </si>
  <si>
    <t>S1 - Blocking - Блокирующая</t>
  </si>
  <si>
    <t>S2 - Critical - Критическая</t>
  </si>
  <si>
    <t>S4 - Minor - Незначительная</t>
  </si>
  <si>
    <t>S5 - Trivial - Тривиальная</t>
  </si>
  <si>
    <t>Важность / Severity</t>
  </si>
  <si>
    <t>Номер версии / Version</t>
  </si>
  <si>
    <t>Компонент приложения / App component</t>
  </si>
  <si>
    <t>Проект / Project</t>
  </si>
  <si>
    <t>Короткое описание / Brief description</t>
  </si>
  <si>
    <t>Статус  / Status</t>
  </si>
  <si>
    <t>Шаги воспроизведения / Steps to reproduce</t>
  </si>
  <si>
    <t>Автор / Author</t>
  </si>
  <si>
    <t>Назначен на / Assigned to</t>
  </si>
  <si>
    <t>Ожидаемый результат  / Expected result</t>
  </si>
  <si>
    <t>ALL</t>
  </si>
  <si>
    <t>Комментарии  / Ссылки</t>
  </si>
  <si>
    <t>Application</t>
  </si>
  <si>
    <t>Client</t>
  </si>
  <si>
    <t>email address</t>
  </si>
  <si>
    <t>Hello</t>
  </si>
  <si>
    <t>,</t>
  </si>
  <si>
    <t>Each paragraph should be surrounded by &lt;p&gt; text here &lt;/p&gt;</t>
  </si>
  <si>
    <t>what are you</t>
  </si>
  <si>
    <t>what are you looking for</t>
  </si>
  <si>
    <t>Signature</t>
  </si>
  <si>
    <t>full or part of mailbox account name in Outlook</t>
  </si>
  <si>
    <t>message subject: up to you</t>
  </si>
  <si>
    <t>&lt;p&gt;</t>
  </si>
  <si>
    <t>&lt;/p&gt;</t>
  </si>
  <si>
    <t xml:space="preserve">&lt;br/&gt;Regards&lt;br/&gt;
Egor&lt;br/&gt;
&lt;b&gt;Egor Ivanov&lt;/b&gt;&lt;br/&gt;
e.: egor.v.ivanov@outlook.com&lt;br/&gt;
M +7 916 914-48-45&lt;br/&gt;
M +44.7937.246.086&lt;br/&gt;
</t>
  </si>
  <si>
    <t>&lt;&lt;&lt; bug report range here</t>
  </si>
  <si>
    <t>S3 - Major - Значительная</t>
  </si>
  <si>
    <t>New</t>
  </si>
  <si>
    <t>Open</t>
  </si>
  <si>
    <t>Closed</t>
  </si>
  <si>
    <t>Resolved</t>
  </si>
  <si>
    <t>InProgress</t>
  </si>
  <si>
    <t>Please find bug report &lt;STRONG&gt;</t>
  </si>
  <si>
    <t>&lt;/STRONG&gt; attached to this message.</t>
  </si>
  <si>
    <t>netnet</t>
  </si>
  <si>
    <t>D:\OneDrive\Documents\Documents\ИП Птицина Елена Викторовна - ext\BR-1-UI-Win10-ANYBRWSR.pdf</t>
  </si>
  <si>
    <t>Status</t>
  </si>
  <si>
    <t>anyOS</t>
  </si>
  <si>
    <t>anyBRWSR</t>
  </si>
  <si>
    <t>BR-1-FN</t>
  </si>
  <si>
    <t>Test cases page name</t>
  </si>
  <si>
    <t>test cases</t>
  </si>
  <si>
    <t>placeURLHere.com</t>
  </si>
  <si>
    <t>ClientName ClientSurname</t>
  </si>
  <si>
    <t>clientemailaddress@clientdomain.com</t>
  </si>
  <si>
    <t>Client given name</t>
  </si>
  <si>
    <t>&lt;p&gt;Brief problem description:</t>
  </si>
  <si>
    <t>Фактический Результат / Actual result</t>
  </si>
  <si>
    <t>все должно работать</t>
  </si>
  <si>
    <t>Bug report - Severity  - BR-1-FN - for placeURLHere.com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</si>
</sst>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7" borderId="0" applyNumberFormat="0" applyBorder="0" applyAlignment="0" applyProtection="0"/>
  </cellStyleXfs>
  <cellXfs count="5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" fillId="0" borderId="1" xfId="1" applyBorder="1" applyAlignment="1">
      <alignment wrapText="1"/>
    </xf>
    <xf numFmtId="0" fontId="2" fillId="0" borderId="0" xfId="0" applyFont="1"/>
    <xf numFmtId="0" fontId="0" fillId="9" borderId="0" xfId="0" quotePrefix="1" applyFill="1" applyAlignment="1">
      <alignment vertical="top" wrapText="1"/>
    </xf>
    <xf numFmtId="0" fontId="0" fillId="10" borderId="0" xfId="0" applyFill="1"/>
    <xf numFmtId="0" fontId="0" fillId="10" borderId="0" xfId="0" quotePrefix="1" applyFill="1" applyAlignment="1">
      <alignment vertical="top" wrapText="1"/>
    </xf>
    <xf numFmtId="0" fontId="2" fillId="10" borderId="0" xfId="0" applyFont="1" applyFill="1"/>
    <xf numFmtId="0" fontId="0" fillId="9" borderId="1" xfId="0" quotePrefix="1" applyFill="1" applyBorder="1" applyAlignment="1">
      <alignment vertical="top" wrapText="1"/>
    </xf>
    <xf numFmtId="0" fontId="0" fillId="0" borderId="1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quotePrefix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quotePrefix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8" borderId="3" xfId="0" quotePrefix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left" vertical="center" wrapText="1" indent="2"/>
    </xf>
    <xf numFmtId="0" fontId="0" fillId="6" borderId="1" xfId="0" applyFill="1" applyBorder="1" applyAlignment="1">
      <alignment horizontal="center" vertical="center"/>
    </xf>
    <xf numFmtId="0" fontId="0" fillId="11" borderId="1" xfId="0" quotePrefix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Fill="1" applyBorder="1"/>
    <xf numFmtId="0" fontId="0" fillId="0" borderId="1" xfId="0" applyBorder="1" applyAlignment="1">
      <alignment vertical="top" wrapText="1"/>
    </xf>
    <xf numFmtId="0" fontId="0" fillId="0" borderId="0" xfId="0" applyAlignment="1">
      <alignment horizontal="left" vertical="top"/>
    </xf>
    <xf numFmtId="0" fontId="0" fillId="9" borderId="0" xfId="0" quotePrefix="1" applyFill="1" applyAlignment="1">
      <alignment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Fill="1" applyAlignment="1">
      <alignment vertical="top" wrapText="1"/>
    </xf>
    <xf numFmtId="0" fontId="1" fillId="0" borderId="1" xfId="1" applyFill="1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2" fillId="7" borderId="1" xfId="2" applyBorder="1" applyAlignment="1">
      <alignment horizontal="center" vertical="center" wrapText="1"/>
    </xf>
    <xf numFmtId="0" fontId="0" fillId="0" borderId="0" xfId="0" applyFill="1"/>
    <xf numFmtId="0" fontId="2" fillId="10" borderId="1" xfId="0" applyFont="1" applyFill="1" applyBorder="1" applyAlignment="1">
      <alignment horizontal="left" vertical="top"/>
    </xf>
    <xf numFmtId="0" fontId="0" fillId="9" borderId="0" xfId="0" applyFill="1" applyAlignment="1">
      <alignment horizontal="left" vertical="center"/>
    </xf>
    <xf numFmtId="0" fontId="0" fillId="9" borderId="0" xfId="0" quotePrefix="1" applyFill="1" applyAlignment="1">
      <alignment vertical="top" wrapText="1"/>
    </xf>
    <xf numFmtId="0" fontId="0" fillId="9" borderId="1" xfId="0" quotePrefix="1" applyFill="1" applyBorder="1" applyAlignment="1">
      <alignment vertical="top" wrapText="1"/>
    </xf>
    <xf numFmtId="0" fontId="0" fillId="9" borderId="0" xfId="0" applyFill="1"/>
    <xf numFmtId="0" fontId="0" fillId="9" borderId="0" xfId="0" applyFill="1" applyAlignment="1">
      <alignment horizontal="left" vertical="top" wrapText="1"/>
    </xf>
    <xf numFmtId="0" fontId="0" fillId="9" borderId="4" xfId="0" quotePrefix="1" applyFill="1" applyBorder="1" applyAlignment="1">
      <alignment horizontal="left" vertical="top" wrapText="1"/>
    </xf>
    <xf numFmtId="0" fontId="0" fillId="9" borderId="0" xfId="0" quotePrefix="1" applyFill="1" applyAlignment="1">
      <alignment horizontal="left" vertical="top" wrapText="1"/>
    </xf>
  </cellXfs>
  <cellStyles count="3">
    <cellStyle name="Accent1" xfId="2" builtinId="29"/>
    <cellStyle name="Hyperlink" xfId="1" builtinId="8"/>
    <cellStyle name="Normal" xfId="0" builtinId="0"/>
  </cellStyles>
  <dxfs count="3">
    <dxf>
      <fill>
        <patternFill>
          <bgColor rgb="FFFFC00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00330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003300"/>
      <color rgb="FF80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inningthehearts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clientemailaddress@clientdomain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CEDB-5476-4649-8AEB-BAE270429C79}">
  <sheetPr codeName="Sheet1"/>
  <dimension ref="A1:Q1001"/>
  <sheetViews>
    <sheetView tabSelected="1" zoomScaleNormal="100" workbookViewId="0">
      <pane ySplit="1" topLeftCell="A2" activePane="bottomLeft" state="frozen"/>
      <selection pane="bottomLeft" sqref="A1:N1048576"/>
    </sheetView>
  </sheetViews>
  <sheetFormatPr defaultRowHeight="15" x14ac:dyDescent="0.25"/>
  <cols>
    <col min="1" max="2" width="18.5703125" customWidth="1"/>
    <col min="3" max="5" width="18.5703125" style="4" customWidth="1"/>
    <col min="6" max="14" width="18.5703125" customWidth="1"/>
    <col min="17" max="17" width="31.28515625" customWidth="1"/>
  </cols>
  <sheetData>
    <row r="1" spans="1:17" s="36" customFormat="1" ht="30" x14ac:dyDescent="0.25">
      <c r="A1" s="41" t="s">
        <v>33</v>
      </c>
      <c r="B1" s="41" t="s">
        <v>0</v>
      </c>
      <c r="C1" s="41" t="s">
        <v>1</v>
      </c>
      <c r="D1" s="41" t="s">
        <v>2</v>
      </c>
      <c r="E1" s="41" t="s">
        <v>3</v>
      </c>
      <c r="F1" s="41" t="s">
        <v>30</v>
      </c>
      <c r="G1" s="41" t="s">
        <v>4</v>
      </c>
      <c r="H1" s="41" t="s">
        <v>5</v>
      </c>
      <c r="I1" s="41" t="s">
        <v>6</v>
      </c>
      <c r="J1" s="41" t="s">
        <v>7</v>
      </c>
      <c r="K1" s="41" t="s">
        <v>8</v>
      </c>
      <c r="L1" s="41" t="s">
        <v>53</v>
      </c>
      <c r="M1" s="41" t="s">
        <v>37</v>
      </c>
      <c r="N1" s="41" t="s">
        <v>79</v>
      </c>
    </row>
    <row r="2" spans="1:17" s="36" customFormat="1" x14ac:dyDescent="0.25">
      <c r="A2" s="37" t="str">
        <f>IF(B2&lt;&gt;"",_xlfn.TEXTJOIN("-",1,COUNTIF($B$2:$B2,B2),B2:E2),"")</f>
        <v/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8"/>
      <c r="M2" s="32" t="str">
        <f>IF(B2="FN",_xlfn.CONCAT("egor.v.ivanov+",LEFT(C2,1),"_",LEFT(D2,2),"_",E2,"@outlook.com"),"")</f>
        <v/>
      </c>
      <c r="N2" s="32"/>
      <c r="Q2" s="36" t="str">
        <f>IF(B2="FN",_xlfn.CONCAT("egor.v.ivanov+",LEFT(C2,1),"_",LEFT(D2,2),"_",E2,"@outlook.com"),"")</f>
        <v/>
      </c>
    </row>
    <row r="3" spans="1:17" s="36" customFormat="1" x14ac:dyDescent="0.25">
      <c r="A3" s="32" t="str">
        <f>IF(B3&lt;&gt;"",_xlfn.TEXTJOIN("-",1,COUNTIF($B$2:$B3,B3),B3:E3),"")</f>
        <v/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9"/>
      <c r="M3" s="32" t="str">
        <f t="shared" ref="M3:M66" si="0">IF(B3="FN",_xlfn.CONCAT("egor.v.ivanov+",LEFT(C3,1),"_",LEFT(D3,2),"_",E3,"@outlook.com"),"")</f>
        <v/>
      </c>
      <c r="N3" s="32"/>
      <c r="Q3" s="36" t="str">
        <f t="shared" ref="Q3" si="1">IF(B3="FN",_xlfn.CONCAT("egor.v.ivanov+",LEFT(C3,1),"_",LEFT(D3,2),"_",E3,"@outlook.com"),"")</f>
        <v/>
      </c>
    </row>
    <row r="4" spans="1:17" s="36" customFormat="1" x14ac:dyDescent="0.25">
      <c r="A4" s="32" t="str">
        <f>IF(B4&lt;&gt;"",_xlfn.TEXTJOIN("-",1,COUNTIF($B$2:$B4,B4),B4:E4),"")</f>
        <v/>
      </c>
      <c r="B4" s="32"/>
      <c r="C4" s="32"/>
      <c r="D4" s="32"/>
      <c r="E4" s="32"/>
      <c r="F4" s="32"/>
      <c r="G4" s="39"/>
      <c r="H4" s="32"/>
      <c r="I4" s="32"/>
      <c r="J4" s="32"/>
      <c r="K4" s="39"/>
      <c r="L4" s="39"/>
      <c r="M4" s="32" t="str">
        <f>IF(B4="FN",_xlfn.CONCAT("egor.v.ivanov+",LEFT(C4,1),"_",LEFT(D4,2),"_",E4,"@outlook.com"),"")</f>
        <v/>
      </c>
      <c r="N4" s="32"/>
      <c r="Q4" s="36" t="str">
        <f>IF(B4="FN",_xlfn.TEXTJOIN("",TRUE,"egor.v.ivanov+",LEFT(C4,1)&amp;IF(C4&lt;&gt;"","_",""),LEFT(D4,2)&amp;IF(D4&lt;&gt;"","_",""),,E4,"@outlook.com"),"")</f>
        <v/>
      </c>
    </row>
    <row r="5" spans="1:17" s="36" customFormat="1" x14ac:dyDescent="0.25">
      <c r="A5" s="32" t="str">
        <f>IF(B5&lt;&gt;"",_xlfn.TEXTJOIN("-",1,COUNTIF($B$2:$B5,B5),B5:E5),"")</f>
        <v/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40"/>
      <c r="M5" s="32" t="str">
        <f t="shared" si="0"/>
        <v/>
      </c>
      <c r="N5" s="32"/>
    </row>
    <row r="6" spans="1:17" s="36" customFormat="1" x14ac:dyDescent="0.25">
      <c r="A6" s="32" t="str">
        <f>IF(B6&lt;&gt;"",_xlfn.TEXTJOIN("-",1,COUNTIF($B$2:$B6,B6),B6:E6),"")</f>
        <v/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40"/>
      <c r="M6" s="32" t="str">
        <f t="shared" si="0"/>
        <v/>
      </c>
      <c r="N6" s="32"/>
    </row>
    <row r="7" spans="1:17" s="36" customFormat="1" x14ac:dyDescent="0.25">
      <c r="A7" s="32" t="str">
        <f>IF(B7&lt;&gt;"",_xlfn.TEXTJOIN("-",1,COUNTIF($B$2:$B7,B7),B7:E7),"")</f>
        <v/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40"/>
      <c r="M7" s="32" t="str">
        <f t="shared" si="0"/>
        <v/>
      </c>
      <c r="N7" s="32"/>
    </row>
    <row r="8" spans="1:17" s="36" customFormat="1" x14ac:dyDescent="0.25">
      <c r="A8" s="32" t="str">
        <f>IF(B8&lt;&gt;"",_xlfn.TEXTJOIN("-",1,COUNTIF($B$2:$B8,B8),B8:E8),"")</f>
        <v/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40"/>
      <c r="M8" s="32" t="str">
        <f t="shared" si="0"/>
        <v/>
      </c>
      <c r="N8" s="32"/>
    </row>
    <row r="9" spans="1:17" s="36" customFormat="1" x14ac:dyDescent="0.25">
      <c r="A9" s="32" t="str">
        <f>IF(B9&lt;&gt;"",_xlfn.TEXTJOIN("-",1,COUNTIF($B$2:$B9,B9),B9:E9),"")</f>
        <v/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40"/>
      <c r="M9" s="32" t="str">
        <f t="shared" si="0"/>
        <v/>
      </c>
      <c r="N9" s="32"/>
    </row>
    <row r="10" spans="1:17" s="36" customFormat="1" x14ac:dyDescent="0.25">
      <c r="A10" s="32" t="str">
        <f>IF(B10&lt;&gt;"",_xlfn.TEXTJOIN("-",1,COUNTIF($B$2:$B10,B10),B10:E10),"")</f>
        <v/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40"/>
      <c r="M10" s="32" t="str">
        <f t="shared" si="0"/>
        <v/>
      </c>
      <c r="N10" s="32"/>
    </row>
    <row r="11" spans="1:17" s="36" customFormat="1" x14ac:dyDescent="0.25">
      <c r="A11" s="32" t="str">
        <f>IF(B11&lt;&gt;"",_xlfn.TEXTJOIN("-",1,COUNTIF($B$2:$B11,B11),B11:E11),"")</f>
        <v/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40"/>
      <c r="M11" s="32" t="str">
        <f t="shared" si="0"/>
        <v/>
      </c>
      <c r="N11" s="32"/>
    </row>
    <row r="12" spans="1:17" s="36" customFormat="1" x14ac:dyDescent="0.25">
      <c r="A12" s="32" t="str">
        <f>IF(B12&lt;&gt;"",_xlfn.TEXTJOIN("-",1,COUNTIF($B$2:$B12,B12),B12:E12),"")</f>
        <v/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40"/>
      <c r="M12" s="32" t="str">
        <f t="shared" si="0"/>
        <v/>
      </c>
      <c r="N12" s="32"/>
    </row>
    <row r="13" spans="1:17" s="36" customFormat="1" x14ac:dyDescent="0.25">
      <c r="A13" s="32" t="str">
        <f>IF(B13&lt;&gt;"",_xlfn.TEXTJOIN("-",1,COUNTIF($B$2:$B13,B13),B13:E13),"")</f>
        <v/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40"/>
      <c r="M13" s="32" t="str">
        <f t="shared" si="0"/>
        <v/>
      </c>
      <c r="N13" s="32"/>
    </row>
    <row r="14" spans="1:17" s="36" customFormat="1" x14ac:dyDescent="0.25">
      <c r="A14" s="32" t="str">
        <f>IF(B14&lt;&gt;"",_xlfn.TEXTJOIN("-",1,COUNTIF($B$2:$B14,B14),B14:E14),"")</f>
        <v/>
      </c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40"/>
      <c r="M14" s="32" t="str">
        <f t="shared" si="0"/>
        <v/>
      </c>
      <c r="N14" s="32"/>
    </row>
    <row r="15" spans="1:17" s="36" customFormat="1" x14ac:dyDescent="0.25">
      <c r="A15" s="32" t="str">
        <f>IF(B15&lt;&gt;"",_xlfn.TEXTJOIN("-",1,COUNTIF($B$2:$B15,B15),B15:E15),"")</f>
        <v/>
      </c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40"/>
      <c r="M15" s="32" t="str">
        <f t="shared" si="0"/>
        <v/>
      </c>
      <c r="N15" s="32"/>
    </row>
    <row r="16" spans="1:17" s="36" customFormat="1" x14ac:dyDescent="0.25">
      <c r="A16" s="32" t="str">
        <f>IF(B16&lt;&gt;"",_xlfn.TEXTJOIN("-",1,COUNTIF($B$2:$B16,B16),B16:E16),"")</f>
        <v/>
      </c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40"/>
      <c r="M16" s="32" t="str">
        <f t="shared" si="0"/>
        <v/>
      </c>
      <c r="N16" s="32"/>
    </row>
    <row r="17" spans="1:14" s="36" customFormat="1" x14ac:dyDescent="0.25">
      <c r="A17" s="32" t="str">
        <f>IF(B17&lt;&gt;"",_xlfn.TEXTJOIN("-",1,COUNTIF($B$2:$B17,B17),B17:E17),"")</f>
        <v/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40"/>
      <c r="M17" s="32" t="str">
        <f t="shared" si="0"/>
        <v/>
      </c>
      <c r="N17" s="32"/>
    </row>
    <row r="18" spans="1:14" s="36" customFormat="1" x14ac:dyDescent="0.25">
      <c r="A18" s="32" t="str">
        <f>IF(B18&lt;&gt;"",_xlfn.TEXTJOIN("-",1,COUNTIF($B$2:$B18,B18),B18:E18),"")</f>
        <v/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40"/>
      <c r="M18" s="32" t="str">
        <f t="shared" si="0"/>
        <v/>
      </c>
      <c r="N18" s="32"/>
    </row>
    <row r="19" spans="1:14" s="36" customFormat="1" x14ac:dyDescent="0.25">
      <c r="A19" s="32" t="str">
        <f>IF(B19&lt;&gt;"",_xlfn.TEXTJOIN("-",1,COUNTIF($B$2:$B19,B19),B19:E19),"")</f>
        <v/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40"/>
      <c r="M19" s="32" t="str">
        <f t="shared" si="0"/>
        <v/>
      </c>
      <c r="N19" s="32"/>
    </row>
    <row r="20" spans="1:14" s="36" customFormat="1" x14ac:dyDescent="0.25">
      <c r="A20" s="32" t="str">
        <f>IF(B20&lt;&gt;"",_xlfn.TEXTJOIN("-",1,COUNTIF($B$2:$B20,B20),B20:E20),"")</f>
        <v/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40"/>
      <c r="M20" s="32" t="str">
        <f t="shared" si="0"/>
        <v/>
      </c>
      <c r="N20" s="32"/>
    </row>
    <row r="21" spans="1:14" s="36" customFormat="1" x14ac:dyDescent="0.25">
      <c r="A21" s="32" t="str">
        <f>IF(B21&lt;&gt;"",_xlfn.TEXTJOIN("-",1,COUNTIF($B$2:$B21,B21),B21:E21),"")</f>
        <v/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40"/>
      <c r="M21" s="32" t="str">
        <f t="shared" si="0"/>
        <v/>
      </c>
      <c r="N21" s="32"/>
    </row>
    <row r="22" spans="1:14" s="36" customFormat="1" x14ac:dyDescent="0.25">
      <c r="A22" s="32" t="str">
        <f>IF(B22&lt;&gt;"",_xlfn.TEXTJOIN("-",1,COUNTIF($B$2:$B22,B22),B22:E22),"")</f>
        <v/>
      </c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40"/>
      <c r="M22" s="32" t="str">
        <f t="shared" si="0"/>
        <v/>
      </c>
      <c r="N22" s="32"/>
    </row>
    <row r="23" spans="1:14" s="36" customFormat="1" x14ac:dyDescent="0.25">
      <c r="A23" s="32" t="str">
        <f>IF(B23&lt;&gt;"",_xlfn.TEXTJOIN("-",1,COUNTIF($B$2:$B23,B23),B23:E23),"")</f>
        <v/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40"/>
      <c r="M23" s="32" t="str">
        <f t="shared" si="0"/>
        <v/>
      </c>
      <c r="N23" s="32"/>
    </row>
    <row r="24" spans="1:14" s="36" customFormat="1" x14ac:dyDescent="0.25">
      <c r="A24" s="32" t="str">
        <f>IF(B24&lt;&gt;"",_xlfn.TEXTJOIN("-",1,COUNTIF($B$2:$B24,B24),B24:E24),"")</f>
        <v/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40"/>
      <c r="M24" s="32" t="str">
        <f t="shared" si="0"/>
        <v/>
      </c>
      <c r="N24" s="32"/>
    </row>
    <row r="25" spans="1:14" s="36" customFormat="1" x14ac:dyDescent="0.25">
      <c r="A25" s="32" t="str">
        <f>IF(B25&lt;&gt;"",_xlfn.TEXTJOIN("-",1,COUNTIF($B$2:$B25,B25),B25:E25),"")</f>
        <v/>
      </c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40"/>
      <c r="M25" s="32" t="str">
        <f t="shared" si="0"/>
        <v/>
      </c>
      <c r="N25" s="32"/>
    </row>
    <row r="26" spans="1:14" s="36" customFormat="1" x14ac:dyDescent="0.25">
      <c r="A26" s="32" t="str">
        <f>IF(B26&lt;&gt;"",_xlfn.TEXTJOIN("-",1,COUNTIF($B$2:$B26,B26),B26:E26),"")</f>
        <v/>
      </c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40"/>
      <c r="M26" s="32" t="str">
        <f t="shared" si="0"/>
        <v/>
      </c>
      <c r="N26" s="32"/>
    </row>
    <row r="27" spans="1:14" s="36" customFormat="1" x14ac:dyDescent="0.25">
      <c r="A27" s="32" t="str">
        <f>IF(B27&lt;&gt;"",_xlfn.TEXTJOIN("-",1,COUNTIF($B$2:$B27,B27),B27:E27),"")</f>
        <v/>
      </c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40"/>
      <c r="M27" s="32" t="str">
        <f t="shared" si="0"/>
        <v/>
      </c>
      <c r="N27" s="32"/>
    </row>
    <row r="28" spans="1:14" s="36" customFormat="1" x14ac:dyDescent="0.25">
      <c r="A28" s="32" t="str">
        <f>IF(B28&lt;&gt;"",_xlfn.TEXTJOIN("-",1,COUNTIF($B$2:$B28,B28),B28:E28),"")</f>
        <v/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40"/>
      <c r="M28" s="32" t="str">
        <f t="shared" si="0"/>
        <v/>
      </c>
      <c r="N28" s="32"/>
    </row>
    <row r="29" spans="1:14" s="36" customFormat="1" x14ac:dyDescent="0.25">
      <c r="A29" s="32" t="str">
        <f>IF(B29&lt;&gt;"",_xlfn.TEXTJOIN("-",1,COUNTIF($B$2:$B29,B29),B29:E29),"")</f>
        <v/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40"/>
      <c r="M29" s="32" t="str">
        <f t="shared" si="0"/>
        <v/>
      </c>
      <c r="N29" s="32"/>
    </row>
    <row r="30" spans="1:14" s="36" customFormat="1" x14ac:dyDescent="0.25">
      <c r="A30" s="32" t="str">
        <f>IF(B30&lt;&gt;"",_xlfn.TEXTJOIN("-",1,COUNTIF($B$2:$B30,B30),B30:E30),"")</f>
        <v/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40"/>
      <c r="M30" s="32" t="str">
        <f t="shared" si="0"/>
        <v/>
      </c>
      <c r="N30" s="32"/>
    </row>
    <row r="31" spans="1:14" s="36" customFormat="1" x14ac:dyDescent="0.25">
      <c r="A31" s="32" t="str">
        <f>IF(B31&lt;&gt;"",_xlfn.TEXTJOIN("-",1,COUNTIF($B$2:$B31,B31),B31:E31),"")</f>
        <v/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40"/>
      <c r="M31" s="32" t="str">
        <f t="shared" si="0"/>
        <v/>
      </c>
      <c r="N31" s="32"/>
    </row>
    <row r="32" spans="1:14" s="36" customFormat="1" x14ac:dyDescent="0.25">
      <c r="A32" s="32" t="str">
        <f>IF(B32&lt;&gt;"",_xlfn.TEXTJOIN("-",1,COUNTIF($B$2:$B32,B32),B32:E32),"")</f>
        <v/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40"/>
      <c r="M32" s="32" t="str">
        <f t="shared" si="0"/>
        <v/>
      </c>
      <c r="N32" s="32"/>
    </row>
    <row r="33" spans="1:14" s="36" customFormat="1" x14ac:dyDescent="0.25">
      <c r="A33" s="32" t="str">
        <f>IF(B33&lt;&gt;"",_xlfn.TEXTJOIN("-",1,COUNTIF($B$2:$B33,B33),B33:E33),"")</f>
        <v/>
      </c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40"/>
      <c r="M33" s="32" t="str">
        <f t="shared" si="0"/>
        <v/>
      </c>
      <c r="N33" s="32"/>
    </row>
    <row r="34" spans="1:14" s="36" customFormat="1" x14ac:dyDescent="0.25">
      <c r="A34" s="32" t="str">
        <f>IF(B34&lt;&gt;"",_xlfn.TEXTJOIN("-",1,COUNTIF($B$2:$B34,B34),B34:E34),"")</f>
        <v/>
      </c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40"/>
      <c r="M34" s="32" t="str">
        <f t="shared" si="0"/>
        <v/>
      </c>
      <c r="N34" s="32"/>
    </row>
    <row r="35" spans="1:14" s="36" customFormat="1" x14ac:dyDescent="0.25">
      <c r="A35" s="32" t="str">
        <f>IF(B35&lt;&gt;"",_xlfn.TEXTJOIN("-",1,COUNTIF($B$2:$B35,B35),B35:E35),"")</f>
        <v/>
      </c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40"/>
      <c r="M35" s="32" t="str">
        <f t="shared" si="0"/>
        <v/>
      </c>
      <c r="N35" s="32"/>
    </row>
    <row r="36" spans="1:14" s="36" customFormat="1" x14ac:dyDescent="0.25">
      <c r="A36" s="32" t="str">
        <f>IF(B36&lt;&gt;"",_xlfn.TEXTJOIN("-",1,COUNTIF($B$2:$B36,B36),B36:E36),"")</f>
        <v/>
      </c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40"/>
      <c r="M36" s="32" t="str">
        <f t="shared" si="0"/>
        <v/>
      </c>
      <c r="N36" s="32"/>
    </row>
    <row r="37" spans="1:14" s="36" customFormat="1" x14ac:dyDescent="0.25">
      <c r="A37" s="32" t="str">
        <f>IF(B37&lt;&gt;"",_xlfn.TEXTJOIN("-",1,COUNTIF($B$2:$B37,B37),B37:E37),"")</f>
        <v/>
      </c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40"/>
      <c r="M37" s="32" t="str">
        <f t="shared" si="0"/>
        <v/>
      </c>
      <c r="N37" s="32"/>
    </row>
    <row r="38" spans="1:14" s="36" customFormat="1" x14ac:dyDescent="0.25">
      <c r="A38" s="32" t="str">
        <f>IF(B38&lt;&gt;"",_xlfn.TEXTJOIN("-",1,COUNTIF($B$2:$B38,B38),B38:E38),"")</f>
        <v/>
      </c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40"/>
      <c r="M38" s="32" t="str">
        <f t="shared" si="0"/>
        <v/>
      </c>
      <c r="N38" s="32"/>
    </row>
    <row r="39" spans="1:14" s="36" customFormat="1" x14ac:dyDescent="0.25">
      <c r="A39" s="32" t="str">
        <f>IF(B39&lt;&gt;"",_xlfn.TEXTJOIN("-",1,COUNTIF($B$2:$B39,B39),B39:E39),"")</f>
        <v/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40"/>
      <c r="M39" s="32" t="str">
        <f t="shared" si="0"/>
        <v/>
      </c>
      <c r="N39" s="32"/>
    </row>
    <row r="40" spans="1:14" s="36" customFormat="1" x14ac:dyDescent="0.25">
      <c r="A40" s="32" t="str">
        <f>IF(B40&lt;&gt;"",_xlfn.TEXTJOIN("-",1,COUNTIF($B$2:$B40,B40),B40:E40),"")</f>
        <v/>
      </c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40"/>
      <c r="M40" s="32" t="str">
        <f t="shared" si="0"/>
        <v/>
      </c>
      <c r="N40" s="32"/>
    </row>
    <row r="41" spans="1:14" s="36" customFormat="1" x14ac:dyDescent="0.25">
      <c r="A41" s="32" t="str">
        <f>IF(B41&lt;&gt;"",_xlfn.TEXTJOIN("-",1,COUNTIF($B$2:$B41,B41),B41:E41),"")</f>
        <v/>
      </c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40"/>
      <c r="M41" s="32" t="str">
        <f t="shared" si="0"/>
        <v/>
      </c>
      <c r="N41" s="32"/>
    </row>
    <row r="42" spans="1:14" s="36" customFormat="1" x14ac:dyDescent="0.25">
      <c r="A42" s="32" t="str">
        <f>IF(B42&lt;&gt;"",_xlfn.TEXTJOIN("-",1,COUNTIF($B$2:$B42,B42),B42:E42),"")</f>
        <v/>
      </c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40"/>
      <c r="M42" s="32" t="str">
        <f t="shared" si="0"/>
        <v/>
      </c>
      <c r="N42" s="32"/>
    </row>
    <row r="43" spans="1:14" s="36" customFormat="1" x14ac:dyDescent="0.25">
      <c r="A43" s="32" t="str">
        <f>IF(B43&lt;&gt;"",_xlfn.TEXTJOIN("-",1,COUNTIF($B$2:$B43,B43),B43:E43),"")</f>
        <v/>
      </c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40"/>
      <c r="M43" s="32" t="str">
        <f t="shared" si="0"/>
        <v/>
      </c>
      <c r="N43" s="32"/>
    </row>
    <row r="44" spans="1:14" s="36" customFormat="1" x14ac:dyDescent="0.25">
      <c r="A44" s="32" t="str">
        <f>IF(B44&lt;&gt;"",_xlfn.TEXTJOIN("-",1,COUNTIF($B$2:$B44,B44),B44:E44),"")</f>
        <v/>
      </c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40"/>
      <c r="M44" s="32" t="str">
        <f t="shared" si="0"/>
        <v/>
      </c>
      <c r="N44" s="32"/>
    </row>
    <row r="45" spans="1:14" s="36" customFormat="1" x14ac:dyDescent="0.25">
      <c r="A45" s="32" t="str">
        <f>IF(B45&lt;&gt;"",_xlfn.TEXTJOIN("-",1,COUNTIF($B$2:$B45,B45),B45:E45),"")</f>
        <v/>
      </c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40"/>
      <c r="M45" s="32" t="str">
        <f t="shared" si="0"/>
        <v/>
      </c>
      <c r="N45" s="32"/>
    </row>
    <row r="46" spans="1:14" s="36" customFormat="1" x14ac:dyDescent="0.25">
      <c r="A46" s="32" t="str">
        <f>IF(B46&lt;&gt;"",_xlfn.TEXTJOIN("-",1,COUNTIF($B$2:$B46,B46),B46:E46),"")</f>
        <v/>
      </c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40"/>
      <c r="M46" s="32" t="str">
        <f t="shared" si="0"/>
        <v/>
      </c>
      <c r="N46" s="32"/>
    </row>
    <row r="47" spans="1:14" s="36" customFormat="1" x14ac:dyDescent="0.25">
      <c r="A47" s="32" t="str">
        <f>IF(B47&lt;&gt;"",_xlfn.TEXTJOIN("-",1,COUNTIF($B$2:$B47,B47),B47:E47),"")</f>
        <v/>
      </c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40"/>
      <c r="M47" s="32" t="str">
        <f t="shared" si="0"/>
        <v/>
      </c>
      <c r="N47" s="32"/>
    </row>
    <row r="48" spans="1:14" s="36" customFormat="1" x14ac:dyDescent="0.25">
      <c r="A48" s="32" t="str">
        <f>IF(B48&lt;&gt;"",_xlfn.TEXTJOIN("-",1,COUNTIF($B$2:$B48,B48),B48:E48),"")</f>
        <v/>
      </c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40"/>
      <c r="M48" s="32" t="str">
        <f t="shared" si="0"/>
        <v/>
      </c>
      <c r="N48" s="32"/>
    </row>
    <row r="49" spans="1:14" s="36" customFormat="1" x14ac:dyDescent="0.25">
      <c r="A49" s="32" t="str">
        <f>IF(B49&lt;&gt;"",_xlfn.TEXTJOIN("-",1,COUNTIF($B$2:$B49,B49),B49:E49),"")</f>
        <v/>
      </c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40"/>
      <c r="M49" s="32" t="str">
        <f t="shared" si="0"/>
        <v/>
      </c>
      <c r="N49" s="32"/>
    </row>
    <row r="50" spans="1:14" s="36" customFormat="1" x14ac:dyDescent="0.25">
      <c r="A50" s="32" t="str">
        <f>IF(B50&lt;&gt;"",_xlfn.TEXTJOIN("-",1,COUNTIF($B$2:$B50,B50),B50:E50),"")</f>
        <v/>
      </c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40"/>
      <c r="M50" s="32" t="str">
        <f t="shared" si="0"/>
        <v/>
      </c>
      <c r="N50" s="32"/>
    </row>
    <row r="51" spans="1:14" s="36" customFormat="1" x14ac:dyDescent="0.25">
      <c r="A51" s="32" t="str">
        <f>IF(B51&lt;&gt;"",_xlfn.TEXTJOIN("-",1,COUNTIF($B$2:$B51,B51),B51:E51),"")</f>
        <v/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40"/>
      <c r="M51" s="32" t="str">
        <f t="shared" si="0"/>
        <v/>
      </c>
      <c r="N51" s="32"/>
    </row>
    <row r="52" spans="1:14" s="36" customFormat="1" x14ac:dyDescent="0.25">
      <c r="A52" s="32" t="str">
        <f>IF(B52&lt;&gt;"",_xlfn.TEXTJOIN("-",1,COUNTIF($B$2:$B52,B52),B52:E52),"")</f>
        <v/>
      </c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40"/>
      <c r="M52" s="32" t="str">
        <f t="shared" si="0"/>
        <v/>
      </c>
      <c r="N52" s="32"/>
    </row>
    <row r="53" spans="1:14" s="36" customFormat="1" x14ac:dyDescent="0.25">
      <c r="A53" s="32" t="str">
        <f>IF(B53&lt;&gt;"",_xlfn.TEXTJOIN("-",1,COUNTIF($B$2:$B53,B53),B53:E53),"")</f>
        <v/>
      </c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40"/>
      <c r="M53" s="32" t="str">
        <f t="shared" si="0"/>
        <v/>
      </c>
      <c r="N53" s="32"/>
    </row>
    <row r="54" spans="1:14" s="36" customFormat="1" x14ac:dyDescent="0.25">
      <c r="A54" s="32" t="str">
        <f>IF(B54&lt;&gt;"",_xlfn.TEXTJOIN("-",1,COUNTIF($B$2:$B54,B54),B54:E54),"")</f>
        <v/>
      </c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40"/>
      <c r="M54" s="32" t="str">
        <f t="shared" si="0"/>
        <v/>
      </c>
      <c r="N54" s="32"/>
    </row>
    <row r="55" spans="1:14" s="36" customFormat="1" x14ac:dyDescent="0.25">
      <c r="A55" s="32" t="str">
        <f>IF(B55&lt;&gt;"",_xlfn.TEXTJOIN("-",1,COUNTIF($B$2:$B55,B55),B55:E55),"")</f>
        <v/>
      </c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40"/>
      <c r="M55" s="32" t="str">
        <f t="shared" si="0"/>
        <v/>
      </c>
      <c r="N55" s="32"/>
    </row>
    <row r="56" spans="1:14" s="36" customFormat="1" x14ac:dyDescent="0.25">
      <c r="A56" s="32" t="str">
        <f>IF(B56&lt;&gt;"",_xlfn.TEXTJOIN("-",1,COUNTIF($B$2:$B56,B56),B56:E56),"")</f>
        <v/>
      </c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40"/>
      <c r="M56" s="32" t="str">
        <f t="shared" si="0"/>
        <v/>
      </c>
      <c r="N56" s="32"/>
    </row>
    <row r="57" spans="1:14" s="36" customFormat="1" x14ac:dyDescent="0.25">
      <c r="A57" s="32" t="str">
        <f>IF(B57&lt;&gt;"",_xlfn.TEXTJOIN("-",1,COUNTIF($B$2:$B57,B57),B57:E57),"")</f>
        <v/>
      </c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40"/>
      <c r="M57" s="32" t="str">
        <f t="shared" si="0"/>
        <v/>
      </c>
      <c r="N57" s="32"/>
    </row>
    <row r="58" spans="1:14" s="36" customFormat="1" x14ac:dyDescent="0.25">
      <c r="A58" s="32" t="str">
        <f>IF(B58&lt;&gt;"",_xlfn.TEXTJOIN("-",1,COUNTIF($B$2:$B58,B58),B58:E58),"")</f>
        <v/>
      </c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40"/>
      <c r="M58" s="32" t="str">
        <f t="shared" si="0"/>
        <v/>
      </c>
      <c r="N58" s="32"/>
    </row>
    <row r="59" spans="1:14" s="36" customFormat="1" x14ac:dyDescent="0.25">
      <c r="A59" s="32" t="str">
        <f>IF(B59&lt;&gt;"",_xlfn.TEXTJOIN("-",1,COUNTIF($B$2:$B59,B59),B59:E59),"")</f>
        <v/>
      </c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40"/>
      <c r="M59" s="32" t="str">
        <f t="shared" si="0"/>
        <v/>
      </c>
      <c r="N59" s="32"/>
    </row>
    <row r="60" spans="1:14" s="36" customFormat="1" x14ac:dyDescent="0.25">
      <c r="A60" s="32" t="str">
        <f>IF(B60&lt;&gt;"",_xlfn.TEXTJOIN("-",1,COUNTIF($B$2:$B60,B60),B60:E60),"")</f>
        <v/>
      </c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40"/>
      <c r="M60" s="32" t="str">
        <f t="shared" si="0"/>
        <v/>
      </c>
      <c r="N60" s="32"/>
    </row>
    <row r="61" spans="1:14" s="36" customFormat="1" x14ac:dyDescent="0.25">
      <c r="A61" s="32" t="str">
        <f>IF(B61&lt;&gt;"",_xlfn.TEXTJOIN("-",1,COUNTIF($B$2:$B61,B61),B61:E61),"")</f>
        <v/>
      </c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40"/>
      <c r="M61" s="32" t="str">
        <f t="shared" si="0"/>
        <v/>
      </c>
      <c r="N61" s="32"/>
    </row>
    <row r="62" spans="1:14" s="36" customFormat="1" x14ac:dyDescent="0.25">
      <c r="A62" s="32" t="str">
        <f>IF(B62&lt;&gt;"",_xlfn.TEXTJOIN("-",1,COUNTIF($B$2:$B62,B62),B62:E62),"")</f>
        <v/>
      </c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40"/>
      <c r="M62" s="32" t="str">
        <f t="shared" si="0"/>
        <v/>
      </c>
      <c r="N62" s="32"/>
    </row>
    <row r="63" spans="1:14" s="36" customFormat="1" x14ac:dyDescent="0.25">
      <c r="A63" s="32" t="str">
        <f>IF(B63&lt;&gt;"",_xlfn.TEXTJOIN("-",1,COUNTIF($B$2:$B63,B63),B63:E63),"")</f>
        <v/>
      </c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40"/>
      <c r="M63" s="32" t="str">
        <f t="shared" si="0"/>
        <v/>
      </c>
      <c r="N63" s="32"/>
    </row>
    <row r="64" spans="1:14" s="36" customFormat="1" x14ac:dyDescent="0.25">
      <c r="A64" s="32" t="str">
        <f>IF(B64&lt;&gt;"",_xlfn.TEXTJOIN("-",1,COUNTIF($B$2:$B64,B64),B64:E64),"")</f>
        <v/>
      </c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40"/>
      <c r="M64" s="32" t="str">
        <f t="shared" si="0"/>
        <v/>
      </c>
      <c r="N64" s="32"/>
    </row>
    <row r="65" spans="1:14" s="36" customFormat="1" x14ac:dyDescent="0.25">
      <c r="A65" s="32" t="str">
        <f>IF(B65&lt;&gt;"",_xlfn.TEXTJOIN("-",1,COUNTIF($B$2:$B65,B65),B65:E65),"")</f>
        <v/>
      </c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40"/>
      <c r="M65" s="32" t="str">
        <f t="shared" si="0"/>
        <v/>
      </c>
      <c r="N65" s="32"/>
    </row>
    <row r="66" spans="1:14" s="36" customFormat="1" x14ac:dyDescent="0.25">
      <c r="A66" s="32" t="str">
        <f>IF(B66&lt;&gt;"",_xlfn.TEXTJOIN("-",1,COUNTIF($B$2:$B66,B66),B66:E66),"")</f>
        <v/>
      </c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40"/>
      <c r="M66" s="32" t="str">
        <f t="shared" si="0"/>
        <v/>
      </c>
      <c r="N66" s="32"/>
    </row>
    <row r="67" spans="1:14" s="36" customFormat="1" x14ac:dyDescent="0.25">
      <c r="A67" s="32" t="str">
        <f>IF(B67&lt;&gt;"",_xlfn.TEXTJOIN("-",1,COUNTIF($B$2:$B67,B67),B67:E67),"")</f>
        <v/>
      </c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40"/>
      <c r="M67" s="32" t="str">
        <f t="shared" ref="M67:M130" si="2">IF(B67="FN",_xlfn.CONCAT("egor.v.ivanov+",LEFT(C67,1),"_",LEFT(D67,2),"_",E67,"@outlook.com"),"")</f>
        <v/>
      </c>
      <c r="N67" s="32"/>
    </row>
    <row r="68" spans="1:14" s="36" customFormat="1" x14ac:dyDescent="0.25">
      <c r="A68" s="32" t="str">
        <f>IF(B68&lt;&gt;"",_xlfn.TEXTJOIN("-",1,COUNTIF($B$2:$B68,B68),B68:E68),"")</f>
        <v/>
      </c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40"/>
      <c r="M68" s="32" t="str">
        <f t="shared" si="2"/>
        <v/>
      </c>
      <c r="N68" s="32"/>
    </row>
    <row r="69" spans="1:14" s="36" customFormat="1" x14ac:dyDescent="0.25">
      <c r="A69" s="32" t="str">
        <f>IF(B69&lt;&gt;"",_xlfn.TEXTJOIN("-",1,COUNTIF($B$2:$B69,B69),B69:E69),"")</f>
        <v/>
      </c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40"/>
      <c r="M69" s="32" t="str">
        <f t="shared" si="2"/>
        <v/>
      </c>
      <c r="N69" s="32"/>
    </row>
    <row r="70" spans="1:14" s="36" customFormat="1" x14ac:dyDescent="0.25">
      <c r="A70" s="32" t="str">
        <f>IF(B70&lt;&gt;"",_xlfn.TEXTJOIN("-",1,COUNTIF($B$2:$B70,B70),B70:E70),"")</f>
        <v/>
      </c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40"/>
      <c r="M70" s="32" t="str">
        <f t="shared" si="2"/>
        <v/>
      </c>
      <c r="N70" s="32"/>
    </row>
    <row r="71" spans="1:14" s="36" customFormat="1" x14ac:dyDescent="0.25">
      <c r="A71" s="32" t="str">
        <f>IF(B71&lt;&gt;"",_xlfn.TEXTJOIN("-",1,COUNTIF($B$2:$B71,B71),B71:E71),"")</f>
        <v/>
      </c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40"/>
      <c r="M71" s="32" t="str">
        <f t="shared" si="2"/>
        <v/>
      </c>
      <c r="N71" s="32"/>
    </row>
    <row r="72" spans="1:14" s="36" customFormat="1" x14ac:dyDescent="0.25">
      <c r="A72" s="32" t="str">
        <f>IF(B72&lt;&gt;"",_xlfn.TEXTJOIN("-",1,COUNTIF($B$2:$B72,B72),B72:E72),"")</f>
        <v/>
      </c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40"/>
      <c r="M72" s="32" t="str">
        <f t="shared" si="2"/>
        <v/>
      </c>
      <c r="N72" s="32"/>
    </row>
    <row r="73" spans="1:14" s="36" customFormat="1" x14ac:dyDescent="0.25">
      <c r="A73" s="32" t="str">
        <f>IF(B73&lt;&gt;"",_xlfn.TEXTJOIN("-",1,COUNTIF($B$2:$B73,B73),B73:E73),"")</f>
        <v/>
      </c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40"/>
      <c r="M73" s="32" t="str">
        <f t="shared" si="2"/>
        <v/>
      </c>
      <c r="N73" s="32"/>
    </row>
    <row r="74" spans="1:14" s="36" customFormat="1" x14ac:dyDescent="0.25">
      <c r="A74" s="32" t="str">
        <f>IF(B74&lt;&gt;"",_xlfn.TEXTJOIN("-",1,COUNTIF($B$2:$B74,B74),B74:E74),"")</f>
        <v/>
      </c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40"/>
      <c r="M74" s="32" t="str">
        <f t="shared" si="2"/>
        <v/>
      </c>
      <c r="N74" s="32"/>
    </row>
    <row r="75" spans="1:14" s="36" customFormat="1" x14ac:dyDescent="0.25">
      <c r="A75" s="32" t="str">
        <f>IF(B75&lt;&gt;"",_xlfn.TEXTJOIN("-",1,COUNTIF($B$2:$B75,B75),B75:E75),"")</f>
        <v/>
      </c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40"/>
      <c r="M75" s="32" t="str">
        <f t="shared" si="2"/>
        <v/>
      </c>
      <c r="N75" s="32"/>
    </row>
    <row r="76" spans="1:14" s="36" customFormat="1" x14ac:dyDescent="0.25">
      <c r="A76" s="32" t="str">
        <f>IF(B76&lt;&gt;"",_xlfn.TEXTJOIN("-",1,COUNTIF($B$2:$B76,B76),B76:E76),"")</f>
        <v/>
      </c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40"/>
      <c r="M76" s="32" t="str">
        <f t="shared" si="2"/>
        <v/>
      </c>
      <c r="N76" s="32"/>
    </row>
    <row r="77" spans="1:14" s="36" customFormat="1" x14ac:dyDescent="0.25">
      <c r="A77" s="32" t="str">
        <f>IF(B77&lt;&gt;"",_xlfn.TEXTJOIN("-",1,COUNTIF($B$2:$B77,B77),B77:E77),"")</f>
        <v/>
      </c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40"/>
      <c r="M77" s="32" t="str">
        <f t="shared" si="2"/>
        <v/>
      </c>
      <c r="N77" s="32"/>
    </row>
    <row r="78" spans="1:14" s="36" customFormat="1" x14ac:dyDescent="0.25">
      <c r="A78" s="32" t="str">
        <f>IF(B78&lt;&gt;"",_xlfn.TEXTJOIN("-",1,COUNTIF($B$2:$B78,B78),B78:E78),"")</f>
        <v/>
      </c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40"/>
      <c r="M78" s="32" t="str">
        <f t="shared" si="2"/>
        <v/>
      </c>
      <c r="N78" s="32"/>
    </row>
    <row r="79" spans="1:14" s="36" customFormat="1" x14ac:dyDescent="0.25">
      <c r="A79" s="32" t="str">
        <f>IF(B79&lt;&gt;"",_xlfn.TEXTJOIN("-",1,COUNTIF($B$2:$B79,B79),B79:E79),"")</f>
        <v/>
      </c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40"/>
      <c r="M79" s="32" t="str">
        <f t="shared" si="2"/>
        <v/>
      </c>
      <c r="N79" s="32"/>
    </row>
    <row r="80" spans="1:14" s="36" customFormat="1" x14ac:dyDescent="0.25">
      <c r="A80" s="32" t="str">
        <f>IF(B80&lt;&gt;"",_xlfn.TEXTJOIN("-",1,COUNTIF($B$2:$B80,B80),B80:E80),"")</f>
        <v/>
      </c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40"/>
      <c r="M80" s="32" t="str">
        <f t="shared" si="2"/>
        <v/>
      </c>
      <c r="N80" s="32"/>
    </row>
    <row r="81" spans="1:14" s="36" customFormat="1" x14ac:dyDescent="0.25">
      <c r="A81" s="32" t="str">
        <f>IF(B81&lt;&gt;"",_xlfn.TEXTJOIN("-",1,COUNTIF($B$2:$B81,B81),B81:E81),"")</f>
        <v/>
      </c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40"/>
      <c r="M81" s="32" t="str">
        <f t="shared" si="2"/>
        <v/>
      </c>
      <c r="N81" s="32"/>
    </row>
    <row r="82" spans="1:14" s="36" customFormat="1" x14ac:dyDescent="0.25">
      <c r="A82" s="32" t="str">
        <f>IF(B82&lt;&gt;"",_xlfn.TEXTJOIN("-",1,COUNTIF($B$2:$B82,B82),B82:E82),"")</f>
        <v/>
      </c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40"/>
      <c r="M82" s="32" t="str">
        <f t="shared" si="2"/>
        <v/>
      </c>
      <c r="N82" s="32"/>
    </row>
    <row r="83" spans="1:14" s="36" customFormat="1" x14ac:dyDescent="0.25">
      <c r="A83" s="32" t="str">
        <f>IF(B83&lt;&gt;"",_xlfn.TEXTJOIN("-",1,COUNTIF($B$2:$B83,B83),B83:E83),"")</f>
        <v/>
      </c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40"/>
      <c r="M83" s="32" t="str">
        <f t="shared" si="2"/>
        <v/>
      </c>
      <c r="N83" s="32"/>
    </row>
    <row r="84" spans="1:14" s="36" customFormat="1" x14ac:dyDescent="0.25">
      <c r="A84" s="32" t="str">
        <f>IF(B84&lt;&gt;"",_xlfn.TEXTJOIN("-",1,COUNTIF($B$2:$B84,B84),B84:E84),"")</f>
        <v/>
      </c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40"/>
      <c r="M84" s="32" t="str">
        <f t="shared" si="2"/>
        <v/>
      </c>
      <c r="N84" s="32"/>
    </row>
    <row r="85" spans="1:14" s="36" customFormat="1" x14ac:dyDescent="0.25">
      <c r="A85" s="32" t="str">
        <f>IF(B85&lt;&gt;"",_xlfn.TEXTJOIN("-",1,COUNTIF($B$2:$B85,B85),B85:E85),"")</f>
        <v/>
      </c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40"/>
      <c r="M85" s="32" t="str">
        <f t="shared" si="2"/>
        <v/>
      </c>
      <c r="N85" s="32"/>
    </row>
    <row r="86" spans="1:14" s="36" customFormat="1" x14ac:dyDescent="0.25">
      <c r="A86" s="32" t="str">
        <f>IF(B86&lt;&gt;"",_xlfn.TEXTJOIN("-",1,COUNTIF($B$2:$B86,B86),B86:E86),"")</f>
        <v/>
      </c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40"/>
      <c r="M86" s="32" t="str">
        <f t="shared" si="2"/>
        <v/>
      </c>
      <c r="N86" s="32"/>
    </row>
    <row r="87" spans="1:14" s="36" customFormat="1" x14ac:dyDescent="0.25">
      <c r="A87" s="32" t="str">
        <f>IF(B87&lt;&gt;"",_xlfn.TEXTJOIN("-",1,COUNTIF($B$2:$B87,B87),B87:E87),"")</f>
        <v/>
      </c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40"/>
      <c r="M87" s="32" t="str">
        <f t="shared" si="2"/>
        <v/>
      </c>
      <c r="N87" s="32"/>
    </row>
    <row r="88" spans="1:14" s="36" customFormat="1" x14ac:dyDescent="0.25">
      <c r="A88" s="32" t="str">
        <f>IF(B88&lt;&gt;"",_xlfn.TEXTJOIN("-",1,COUNTIF($B$2:$B88,B88),B88:E88),"")</f>
        <v/>
      </c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40"/>
      <c r="M88" s="32" t="str">
        <f t="shared" si="2"/>
        <v/>
      </c>
      <c r="N88" s="32"/>
    </row>
    <row r="89" spans="1:14" s="36" customFormat="1" x14ac:dyDescent="0.25">
      <c r="A89" s="32" t="str">
        <f>IF(B89&lt;&gt;"",_xlfn.TEXTJOIN("-",1,COUNTIF($B$2:$B89,B89),B89:E89),"")</f>
        <v/>
      </c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40"/>
      <c r="M89" s="32" t="str">
        <f t="shared" si="2"/>
        <v/>
      </c>
      <c r="N89" s="32"/>
    </row>
    <row r="90" spans="1:14" s="36" customFormat="1" x14ac:dyDescent="0.25">
      <c r="A90" s="32" t="str">
        <f>IF(B90&lt;&gt;"",_xlfn.TEXTJOIN("-",1,COUNTIF($B$2:$B90,B90),B90:E90),"")</f>
        <v/>
      </c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40"/>
      <c r="M90" s="32" t="str">
        <f t="shared" si="2"/>
        <v/>
      </c>
      <c r="N90" s="32"/>
    </row>
    <row r="91" spans="1:14" s="36" customFormat="1" x14ac:dyDescent="0.25">
      <c r="A91" s="32" t="str">
        <f>IF(B91&lt;&gt;"",_xlfn.TEXTJOIN("-",1,COUNTIF($B$2:$B91,B91),B91:E91),"")</f>
        <v/>
      </c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40"/>
      <c r="M91" s="32" t="str">
        <f t="shared" si="2"/>
        <v/>
      </c>
      <c r="N91" s="32"/>
    </row>
    <row r="92" spans="1:14" s="36" customFormat="1" x14ac:dyDescent="0.25">
      <c r="A92" s="32" t="str">
        <f>IF(B92&lt;&gt;"",_xlfn.TEXTJOIN("-",1,COUNTIF($B$2:$B92,B92),B92:E92),"")</f>
        <v/>
      </c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 t="str">
        <f t="shared" si="2"/>
        <v/>
      </c>
      <c r="N92" s="32"/>
    </row>
    <row r="93" spans="1:14" s="36" customFormat="1" x14ac:dyDescent="0.25">
      <c r="A93" s="32" t="str">
        <f>IF(B93&lt;&gt;"",_xlfn.TEXTJOIN("-",1,COUNTIF($B$2:$B93,B93),B93:E93),"")</f>
        <v/>
      </c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 t="str">
        <f t="shared" si="2"/>
        <v/>
      </c>
      <c r="N93" s="32"/>
    </row>
    <row r="94" spans="1:14" s="36" customFormat="1" x14ac:dyDescent="0.25">
      <c r="A94" s="32" t="str">
        <f>IF(B94&lt;&gt;"",_xlfn.TEXTJOIN("-",1,COUNTIF($B$2:$B94,B94),B94:E94),"")</f>
        <v/>
      </c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 t="str">
        <f t="shared" si="2"/>
        <v/>
      </c>
      <c r="N94" s="32"/>
    </row>
    <row r="95" spans="1:14" s="36" customFormat="1" x14ac:dyDescent="0.25">
      <c r="A95" s="32" t="str">
        <f>IF(B95&lt;&gt;"",_xlfn.TEXTJOIN("-",1,COUNTIF($B$2:$B95,B95),B95:E95),"")</f>
        <v/>
      </c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 t="str">
        <f t="shared" si="2"/>
        <v/>
      </c>
      <c r="N95" s="32"/>
    </row>
    <row r="96" spans="1:14" s="36" customFormat="1" x14ac:dyDescent="0.25">
      <c r="A96" s="32" t="str">
        <f>IF(B96&lt;&gt;"",_xlfn.TEXTJOIN("-",1,COUNTIF($B$2:$B96,B96),B96:E96),"")</f>
        <v/>
      </c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 t="str">
        <f t="shared" si="2"/>
        <v/>
      </c>
      <c r="N96" s="32"/>
    </row>
    <row r="97" spans="1:14" s="36" customFormat="1" x14ac:dyDescent="0.25">
      <c r="A97" s="32" t="str">
        <f>IF(B97&lt;&gt;"",_xlfn.TEXTJOIN("-",1,COUNTIF($B$2:$B97,B97),B97:E97),"")</f>
        <v/>
      </c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 t="str">
        <f t="shared" si="2"/>
        <v/>
      </c>
      <c r="N97" s="32"/>
    </row>
    <row r="98" spans="1:14" s="36" customFormat="1" x14ac:dyDescent="0.25">
      <c r="A98" s="32" t="str">
        <f>IF(B98&lt;&gt;"",_xlfn.TEXTJOIN("-",1,COUNTIF($B$2:$B98,B98),B98:E98),"")</f>
        <v/>
      </c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 t="str">
        <f t="shared" si="2"/>
        <v/>
      </c>
      <c r="N98" s="32"/>
    </row>
    <row r="99" spans="1:14" s="36" customFormat="1" x14ac:dyDescent="0.25">
      <c r="A99" s="32" t="str">
        <f>IF(B99&lt;&gt;"",_xlfn.TEXTJOIN("-",1,COUNTIF($B$2:$B99,B99),B99:E99),"")</f>
        <v/>
      </c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 t="str">
        <f t="shared" si="2"/>
        <v/>
      </c>
      <c r="N99" s="32"/>
    </row>
    <row r="100" spans="1:14" s="36" customFormat="1" x14ac:dyDescent="0.25">
      <c r="A100" s="32" t="str">
        <f>IF(B100&lt;&gt;"",_xlfn.TEXTJOIN("-",1,COUNTIF($B$2:$B100,B100),B100:E100),"")</f>
        <v/>
      </c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 t="str">
        <f t="shared" si="2"/>
        <v/>
      </c>
      <c r="N100" s="32"/>
    </row>
    <row r="101" spans="1:14" s="36" customFormat="1" ht="14.1" customHeight="1" x14ac:dyDescent="0.25">
      <c r="A101" s="32" t="str">
        <f>IF(B101&lt;&gt;"",_xlfn.TEXTJOIN("-",1,COUNTIF($B$2:$B101,B101),B101:E101),"")</f>
        <v/>
      </c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 t="str">
        <f t="shared" si="2"/>
        <v/>
      </c>
      <c r="N101" s="32"/>
    </row>
    <row r="102" spans="1:14" s="36" customFormat="1" ht="14.1" customHeight="1" x14ac:dyDescent="0.25">
      <c r="A102" s="32" t="str">
        <f>IF(B102&lt;&gt;"",_xlfn.TEXTJOIN("-",1,COUNTIF($B$2:$B102,B102),B102:E102),"")</f>
        <v/>
      </c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 t="str">
        <f t="shared" si="2"/>
        <v/>
      </c>
      <c r="N102" s="32"/>
    </row>
    <row r="103" spans="1:14" s="36" customFormat="1" ht="14.1" customHeight="1" x14ac:dyDescent="0.25">
      <c r="A103" s="32" t="str">
        <f>IF(B103&lt;&gt;"",_xlfn.TEXTJOIN("-",1,COUNTIF($B$2:$B103,B103),B103:E103),"")</f>
        <v/>
      </c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 t="str">
        <f t="shared" si="2"/>
        <v/>
      </c>
      <c r="N103" s="32"/>
    </row>
    <row r="104" spans="1:14" s="36" customFormat="1" ht="14.1" customHeight="1" x14ac:dyDescent="0.25">
      <c r="A104" s="32" t="str">
        <f>IF(B104&lt;&gt;"",_xlfn.TEXTJOIN("-",1,COUNTIF($B$2:$B104,B104),B104:E104),"")</f>
        <v/>
      </c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 t="str">
        <f t="shared" si="2"/>
        <v/>
      </c>
      <c r="N104" s="32"/>
    </row>
    <row r="105" spans="1:14" s="36" customFormat="1" ht="14.1" customHeight="1" x14ac:dyDescent="0.25">
      <c r="A105" s="32" t="str">
        <f>IF(B105&lt;&gt;"",_xlfn.TEXTJOIN("-",1,COUNTIF($B$2:$B105,B105),B105:E105),"")</f>
        <v/>
      </c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 t="str">
        <f t="shared" si="2"/>
        <v/>
      </c>
      <c r="N105" s="32"/>
    </row>
    <row r="106" spans="1:14" s="36" customFormat="1" ht="14.1" customHeight="1" x14ac:dyDescent="0.25">
      <c r="A106" s="32" t="str">
        <f>IF(B106&lt;&gt;"",_xlfn.TEXTJOIN("-",1,COUNTIF($B$2:$B106,B106),B106:E106),"")</f>
        <v/>
      </c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 t="str">
        <f t="shared" si="2"/>
        <v/>
      </c>
      <c r="N106" s="32"/>
    </row>
    <row r="107" spans="1:14" s="36" customFormat="1" ht="14.1" customHeight="1" x14ac:dyDescent="0.25">
      <c r="A107" s="32" t="str">
        <f>IF(B107&lt;&gt;"",_xlfn.TEXTJOIN("-",1,COUNTIF($B$2:$B107,B107),B107:E107),"")</f>
        <v/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 t="str">
        <f t="shared" si="2"/>
        <v/>
      </c>
      <c r="N107" s="32"/>
    </row>
    <row r="108" spans="1:14" s="36" customFormat="1" ht="14.1" customHeight="1" x14ac:dyDescent="0.25">
      <c r="A108" s="32" t="str">
        <f>IF(B108&lt;&gt;"",_xlfn.TEXTJOIN("-",1,COUNTIF($B$2:$B108,B108),B108:E108),"")</f>
        <v/>
      </c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 t="str">
        <f t="shared" si="2"/>
        <v/>
      </c>
      <c r="N108" s="32"/>
    </row>
    <row r="109" spans="1:14" s="36" customFormat="1" ht="14.1" customHeight="1" x14ac:dyDescent="0.25">
      <c r="A109" s="32" t="str">
        <f>IF(B109&lt;&gt;"",_xlfn.TEXTJOIN("-",1,COUNTIF($B$2:$B109,B109),B109:E109),"")</f>
        <v/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 t="str">
        <f t="shared" si="2"/>
        <v/>
      </c>
      <c r="N109" s="32"/>
    </row>
    <row r="110" spans="1:14" s="36" customFormat="1" ht="14.1" customHeight="1" x14ac:dyDescent="0.25">
      <c r="A110" s="32" t="str">
        <f>IF(B110&lt;&gt;"",_xlfn.TEXTJOIN("-",1,COUNTIF($B$2:$B110,B110),B110:E110),"")</f>
        <v/>
      </c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 t="str">
        <f t="shared" si="2"/>
        <v/>
      </c>
      <c r="N110" s="32"/>
    </row>
    <row r="111" spans="1:14" s="36" customFormat="1" ht="14.1" customHeight="1" x14ac:dyDescent="0.25">
      <c r="A111" s="32" t="str">
        <f>IF(B111&lt;&gt;"",_xlfn.TEXTJOIN("-",1,COUNTIF($B$2:$B111,B111),B111:E111),"")</f>
        <v/>
      </c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 t="str">
        <f t="shared" si="2"/>
        <v/>
      </c>
      <c r="N111" s="32"/>
    </row>
    <row r="112" spans="1:14" s="36" customFormat="1" ht="14.1" customHeight="1" x14ac:dyDescent="0.25">
      <c r="A112" s="32" t="str">
        <f>IF(B112&lt;&gt;"",_xlfn.TEXTJOIN("-",1,COUNTIF($B$2:$B112,B112),B112:E112),"")</f>
        <v/>
      </c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 t="str">
        <f t="shared" si="2"/>
        <v/>
      </c>
      <c r="N112" s="32"/>
    </row>
    <row r="113" spans="1:14" s="36" customFormat="1" ht="14.1" customHeight="1" x14ac:dyDescent="0.25">
      <c r="A113" s="32" t="str">
        <f>IF(B113&lt;&gt;"",_xlfn.TEXTJOIN("-",1,COUNTIF($B$2:$B113,B113),B113:E113),"")</f>
        <v/>
      </c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 t="str">
        <f t="shared" si="2"/>
        <v/>
      </c>
      <c r="N113" s="32"/>
    </row>
    <row r="114" spans="1:14" s="36" customFormat="1" ht="14.1" customHeight="1" x14ac:dyDescent="0.25">
      <c r="A114" s="32" t="str">
        <f>IF(B114&lt;&gt;"",_xlfn.TEXTJOIN("-",1,COUNTIF($B$2:$B114,B114),B114:E114),"")</f>
        <v/>
      </c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 t="str">
        <f t="shared" si="2"/>
        <v/>
      </c>
      <c r="N114" s="32"/>
    </row>
    <row r="115" spans="1:14" s="36" customFormat="1" ht="14.1" customHeight="1" x14ac:dyDescent="0.25">
      <c r="A115" s="32" t="str">
        <f>IF(B115&lt;&gt;"",_xlfn.TEXTJOIN("-",1,COUNTIF($B$2:$B115,B115),B115:E115),"")</f>
        <v/>
      </c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 t="str">
        <f t="shared" si="2"/>
        <v/>
      </c>
      <c r="N115" s="32"/>
    </row>
    <row r="116" spans="1:14" s="36" customFormat="1" ht="14.1" customHeight="1" x14ac:dyDescent="0.25">
      <c r="A116" s="32" t="str">
        <f>IF(B116&lt;&gt;"",_xlfn.TEXTJOIN("-",1,COUNTIF($B$2:$B116,B116),B116:E116),"")</f>
        <v/>
      </c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 t="str">
        <f t="shared" si="2"/>
        <v/>
      </c>
      <c r="N116" s="32"/>
    </row>
    <row r="117" spans="1:14" s="36" customFormat="1" ht="14.1" customHeight="1" x14ac:dyDescent="0.25">
      <c r="A117" s="32" t="str">
        <f>IF(B117&lt;&gt;"",_xlfn.TEXTJOIN("-",1,COUNTIF($B$2:$B117,B117),B117:E117),"")</f>
        <v/>
      </c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 t="str">
        <f t="shared" si="2"/>
        <v/>
      </c>
      <c r="N117" s="32"/>
    </row>
    <row r="118" spans="1:14" s="36" customFormat="1" ht="14.1" customHeight="1" x14ac:dyDescent="0.25">
      <c r="A118" s="32" t="str">
        <f>IF(B118&lt;&gt;"",_xlfn.TEXTJOIN("-",1,COUNTIF($B$2:$B118,B118),B118:E118),"")</f>
        <v/>
      </c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 t="str">
        <f t="shared" si="2"/>
        <v/>
      </c>
      <c r="N118" s="32"/>
    </row>
    <row r="119" spans="1:14" s="36" customFormat="1" ht="14.1" customHeight="1" x14ac:dyDescent="0.25">
      <c r="A119" s="32" t="str">
        <f>IF(B119&lt;&gt;"",_xlfn.TEXTJOIN("-",1,COUNTIF($B$2:$B119,B119),B119:E119),"")</f>
        <v/>
      </c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 t="str">
        <f t="shared" si="2"/>
        <v/>
      </c>
      <c r="N119" s="32"/>
    </row>
    <row r="120" spans="1:14" s="36" customFormat="1" ht="14.1" customHeight="1" x14ac:dyDescent="0.25">
      <c r="A120" s="32" t="str">
        <f>IF(B120&lt;&gt;"",_xlfn.TEXTJOIN("-",1,COUNTIF($B$2:$B120,B120),B120:E120),"")</f>
        <v/>
      </c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 t="str">
        <f t="shared" si="2"/>
        <v/>
      </c>
      <c r="N120" s="32"/>
    </row>
    <row r="121" spans="1:14" s="36" customFormat="1" ht="14.1" customHeight="1" x14ac:dyDescent="0.25">
      <c r="A121" s="32" t="str">
        <f>IF(B121&lt;&gt;"",_xlfn.TEXTJOIN("-",1,COUNTIF($B$2:$B121,B121),B121:E121),"")</f>
        <v/>
      </c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 t="str">
        <f t="shared" si="2"/>
        <v/>
      </c>
      <c r="N121" s="32"/>
    </row>
    <row r="122" spans="1:14" s="36" customFormat="1" ht="14.1" customHeight="1" x14ac:dyDescent="0.25">
      <c r="A122" s="32" t="str">
        <f>IF(B122&lt;&gt;"",_xlfn.TEXTJOIN("-",1,COUNTIF($B$2:$B122,B122),B122:E122),"")</f>
        <v/>
      </c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 t="str">
        <f t="shared" si="2"/>
        <v/>
      </c>
      <c r="N122" s="32"/>
    </row>
    <row r="123" spans="1:14" s="36" customFormat="1" ht="14.1" customHeight="1" x14ac:dyDescent="0.25">
      <c r="A123" s="32" t="str">
        <f>IF(B123&lt;&gt;"",_xlfn.TEXTJOIN("-",1,COUNTIF($B$2:$B123,B123),B123:E123),"")</f>
        <v/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 t="str">
        <f t="shared" si="2"/>
        <v/>
      </c>
      <c r="N123" s="32"/>
    </row>
    <row r="124" spans="1:14" s="36" customFormat="1" ht="14.1" customHeight="1" x14ac:dyDescent="0.25">
      <c r="A124" s="32" t="str">
        <f>IF(B124&lt;&gt;"",_xlfn.TEXTJOIN("-",1,COUNTIF($B$2:$B124,B124),B124:E124),"")</f>
        <v/>
      </c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 t="str">
        <f t="shared" si="2"/>
        <v/>
      </c>
      <c r="N124" s="32"/>
    </row>
    <row r="125" spans="1:14" s="36" customFormat="1" ht="14.1" customHeight="1" x14ac:dyDescent="0.25">
      <c r="A125" s="32" t="str">
        <f>IF(B125&lt;&gt;"",_xlfn.TEXTJOIN("-",1,COUNTIF($B$2:$B125,B125),B125:E125),"")</f>
        <v/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 t="str">
        <f t="shared" si="2"/>
        <v/>
      </c>
      <c r="N125" s="32"/>
    </row>
    <row r="126" spans="1:14" s="36" customFormat="1" ht="14.1" customHeight="1" x14ac:dyDescent="0.25">
      <c r="A126" s="32" t="str">
        <f>IF(B126&lt;&gt;"",_xlfn.TEXTJOIN("-",1,COUNTIF($B$2:$B126,B126),B126:E126),"")</f>
        <v/>
      </c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 t="str">
        <f t="shared" si="2"/>
        <v/>
      </c>
      <c r="N126" s="32"/>
    </row>
    <row r="127" spans="1:14" s="36" customFormat="1" ht="14.1" customHeight="1" x14ac:dyDescent="0.25">
      <c r="A127" s="32" t="str">
        <f>IF(B127&lt;&gt;"",_xlfn.TEXTJOIN("-",1,COUNTIF($B$2:$B127,B127),B127:E127),"")</f>
        <v/>
      </c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 t="str">
        <f t="shared" si="2"/>
        <v/>
      </c>
      <c r="N127" s="32"/>
    </row>
    <row r="128" spans="1:14" s="36" customFormat="1" ht="14.1" customHeight="1" x14ac:dyDescent="0.25">
      <c r="A128" s="32" t="str">
        <f>IF(B128&lt;&gt;"",_xlfn.TEXTJOIN("-",1,COUNTIF($B$2:$B128,B128),B128:E128),"")</f>
        <v/>
      </c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 t="str">
        <f t="shared" si="2"/>
        <v/>
      </c>
      <c r="N128" s="32"/>
    </row>
    <row r="129" spans="1:14" s="36" customFormat="1" ht="14.1" customHeight="1" x14ac:dyDescent="0.25">
      <c r="A129" s="32" t="str">
        <f>IF(B129&lt;&gt;"",_xlfn.TEXTJOIN("-",1,COUNTIF($B$2:$B129,B129),B129:E129),"")</f>
        <v/>
      </c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 t="str">
        <f t="shared" si="2"/>
        <v/>
      </c>
      <c r="N129" s="32"/>
    </row>
    <row r="130" spans="1:14" s="36" customFormat="1" ht="14.1" customHeight="1" x14ac:dyDescent="0.25">
      <c r="A130" s="32" t="str">
        <f>IF(B130&lt;&gt;"",_xlfn.TEXTJOIN("-",1,COUNTIF($B$2:$B130,B130),B130:E130),"")</f>
        <v/>
      </c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 t="str">
        <f t="shared" si="2"/>
        <v/>
      </c>
      <c r="N130" s="32"/>
    </row>
    <row r="131" spans="1:14" s="36" customFormat="1" ht="14.1" customHeight="1" x14ac:dyDescent="0.25">
      <c r="A131" s="32" t="str">
        <f>IF(B131&lt;&gt;"",_xlfn.TEXTJOIN("-",1,COUNTIF($B$2:$B131,B131),B131:E131),"")</f>
        <v/>
      </c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 t="str">
        <f t="shared" ref="M131:M194" si="3">IF(B131="FN",_xlfn.CONCAT("egor.v.ivanov+",LEFT(C131,1),"_",LEFT(D131,2),"_",E131,"@outlook.com"),"")</f>
        <v/>
      </c>
      <c r="N131" s="32"/>
    </row>
    <row r="132" spans="1:14" s="36" customFormat="1" ht="14.1" customHeight="1" x14ac:dyDescent="0.25">
      <c r="A132" s="32" t="str">
        <f>IF(B132&lt;&gt;"",_xlfn.TEXTJOIN("-",1,COUNTIF($B$2:$B132,B132),B132:E132),"")</f>
        <v/>
      </c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 t="str">
        <f t="shared" si="3"/>
        <v/>
      </c>
      <c r="N132" s="32"/>
    </row>
    <row r="133" spans="1:14" s="36" customFormat="1" ht="14.1" customHeight="1" x14ac:dyDescent="0.25">
      <c r="A133" s="32" t="str">
        <f>IF(B133&lt;&gt;"",_xlfn.TEXTJOIN("-",1,COUNTIF($B$2:$B133,B133),B133:E133),"")</f>
        <v/>
      </c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 t="str">
        <f t="shared" si="3"/>
        <v/>
      </c>
      <c r="N133" s="32"/>
    </row>
    <row r="134" spans="1:14" s="36" customFormat="1" ht="14.1" customHeight="1" x14ac:dyDescent="0.25">
      <c r="A134" s="32" t="str">
        <f>IF(B134&lt;&gt;"",_xlfn.TEXTJOIN("-",1,COUNTIF($B$2:$B134,B134),B134:E134),"")</f>
        <v/>
      </c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 t="str">
        <f t="shared" si="3"/>
        <v/>
      </c>
      <c r="N134" s="32"/>
    </row>
    <row r="135" spans="1:14" s="36" customFormat="1" ht="14.1" customHeight="1" x14ac:dyDescent="0.25">
      <c r="A135" s="32" t="str">
        <f>IF(B135&lt;&gt;"",_xlfn.TEXTJOIN("-",1,COUNTIF($B$2:$B135,B135),B135:E135),"")</f>
        <v/>
      </c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 t="str">
        <f t="shared" si="3"/>
        <v/>
      </c>
      <c r="N135" s="32"/>
    </row>
    <row r="136" spans="1:14" s="36" customFormat="1" ht="14.1" customHeight="1" x14ac:dyDescent="0.25">
      <c r="A136" s="32" t="str">
        <f>IF(B136&lt;&gt;"",_xlfn.TEXTJOIN("-",1,COUNTIF($B$2:$B136,B136),B136:E136),"")</f>
        <v/>
      </c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 t="str">
        <f t="shared" si="3"/>
        <v/>
      </c>
      <c r="N136" s="32"/>
    </row>
    <row r="137" spans="1:14" s="36" customFormat="1" ht="14.1" customHeight="1" x14ac:dyDescent="0.25">
      <c r="A137" s="32" t="str">
        <f>IF(B137&lt;&gt;"",_xlfn.TEXTJOIN("-",1,COUNTIF($B$2:$B137,B137),B137:E137),"")</f>
        <v/>
      </c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 t="str">
        <f t="shared" si="3"/>
        <v/>
      </c>
      <c r="N137" s="32"/>
    </row>
    <row r="138" spans="1:14" s="36" customFormat="1" ht="14.1" customHeight="1" x14ac:dyDescent="0.25">
      <c r="A138" s="32" t="str">
        <f>IF(B138&lt;&gt;"",_xlfn.TEXTJOIN("-",1,COUNTIF($B$2:$B138,B138),B138:E138),"")</f>
        <v/>
      </c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 t="str">
        <f t="shared" si="3"/>
        <v/>
      </c>
      <c r="N138" s="32"/>
    </row>
    <row r="139" spans="1:14" s="36" customFormat="1" ht="14.1" customHeight="1" x14ac:dyDescent="0.25">
      <c r="A139" s="32" t="str">
        <f>IF(B139&lt;&gt;"",_xlfn.TEXTJOIN("-",1,COUNTIF($B$2:$B139,B139),B139:E139),"")</f>
        <v/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 t="str">
        <f t="shared" si="3"/>
        <v/>
      </c>
      <c r="N139" s="32"/>
    </row>
    <row r="140" spans="1:14" s="36" customFormat="1" ht="14.1" customHeight="1" x14ac:dyDescent="0.25">
      <c r="A140" s="32" t="str">
        <f>IF(B140&lt;&gt;"",_xlfn.TEXTJOIN("-",1,COUNTIF($B$2:$B140,B140),B140:E140),"")</f>
        <v/>
      </c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 t="str">
        <f t="shared" si="3"/>
        <v/>
      </c>
      <c r="N140" s="32"/>
    </row>
    <row r="141" spans="1:14" s="36" customFormat="1" ht="14.1" customHeight="1" x14ac:dyDescent="0.25">
      <c r="A141" s="32" t="str">
        <f>IF(B141&lt;&gt;"",_xlfn.TEXTJOIN("-",1,COUNTIF($B$2:$B141,B141),B141:E141),"")</f>
        <v/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 t="str">
        <f t="shared" si="3"/>
        <v/>
      </c>
      <c r="N141" s="32"/>
    </row>
    <row r="142" spans="1:14" s="36" customFormat="1" ht="14.1" customHeight="1" x14ac:dyDescent="0.25">
      <c r="A142" s="32" t="str">
        <f>IF(B142&lt;&gt;"",_xlfn.TEXTJOIN("-",1,COUNTIF($B$2:$B142,B142),B142:E142),"")</f>
        <v/>
      </c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 t="str">
        <f t="shared" si="3"/>
        <v/>
      </c>
      <c r="N142" s="32"/>
    </row>
    <row r="143" spans="1:14" s="36" customFormat="1" ht="14.1" customHeight="1" x14ac:dyDescent="0.25">
      <c r="A143" s="32" t="str">
        <f>IF(B143&lt;&gt;"",_xlfn.TEXTJOIN("-",1,COUNTIF($B$2:$B143,B143),B143:E143),"")</f>
        <v/>
      </c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 t="str">
        <f t="shared" si="3"/>
        <v/>
      </c>
      <c r="N143" s="32"/>
    </row>
    <row r="144" spans="1:14" s="36" customFormat="1" ht="14.1" customHeight="1" x14ac:dyDescent="0.25">
      <c r="A144" s="32" t="str">
        <f>IF(B144&lt;&gt;"",_xlfn.TEXTJOIN("-",1,COUNTIF($B$2:$B144,B144),B144:E144),"")</f>
        <v/>
      </c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 t="str">
        <f t="shared" si="3"/>
        <v/>
      </c>
      <c r="N144" s="32"/>
    </row>
    <row r="145" spans="1:14" s="36" customFormat="1" ht="14.1" customHeight="1" x14ac:dyDescent="0.25">
      <c r="A145" s="32" t="str">
        <f>IF(B145&lt;&gt;"",_xlfn.TEXTJOIN("-",1,COUNTIF($B$2:$B145,B145),B145:E145),"")</f>
        <v/>
      </c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 t="str">
        <f t="shared" si="3"/>
        <v/>
      </c>
      <c r="N145" s="32"/>
    </row>
    <row r="146" spans="1:14" s="36" customFormat="1" ht="14.1" customHeight="1" x14ac:dyDescent="0.25">
      <c r="A146" s="32" t="str">
        <f>IF(B146&lt;&gt;"",_xlfn.TEXTJOIN("-",1,COUNTIF($B$2:$B146,B146),B146:E146),"")</f>
        <v/>
      </c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 t="str">
        <f t="shared" si="3"/>
        <v/>
      </c>
      <c r="N146" s="32"/>
    </row>
    <row r="147" spans="1:14" s="36" customFormat="1" ht="14.1" customHeight="1" x14ac:dyDescent="0.25">
      <c r="A147" s="32" t="str">
        <f>IF(B147&lt;&gt;"",_xlfn.TEXTJOIN("-",1,COUNTIF($B$2:$B147,B147),B147:E147),"")</f>
        <v/>
      </c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 t="str">
        <f t="shared" si="3"/>
        <v/>
      </c>
      <c r="N147" s="32"/>
    </row>
    <row r="148" spans="1:14" s="36" customFormat="1" ht="14.1" customHeight="1" x14ac:dyDescent="0.25">
      <c r="A148" s="32" t="str">
        <f>IF(B148&lt;&gt;"",_xlfn.TEXTJOIN("-",1,COUNTIF($B$2:$B148,B148),B148:E148),"")</f>
        <v/>
      </c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 t="str">
        <f t="shared" si="3"/>
        <v/>
      </c>
      <c r="N148" s="32"/>
    </row>
    <row r="149" spans="1:14" s="36" customFormat="1" ht="14.1" customHeight="1" x14ac:dyDescent="0.25">
      <c r="A149" s="32" t="str">
        <f>IF(B149&lt;&gt;"",_xlfn.TEXTJOIN("-",1,COUNTIF($B$2:$B149,B149),B149:E149),"")</f>
        <v/>
      </c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 t="str">
        <f t="shared" si="3"/>
        <v/>
      </c>
      <c r="N149" s="32"/>
    </row>
    <row r="150" spans="1:14" s="36" customFormat="1" ht="14.1" customHeight="1" x14ac:dyDescent="0.25">
      <c r="A150" s="32" t="str">
        <f>IF(B150&lt;&gt;"",_xlfn.TEXTJOIN("-",1,COUNTIF($B$2:$B150,B150),B150:E150),"")</f>
        <v/>
      </c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 t="str">
        <f t="shared" si="3"/>
        <v/>
      </c>
      <c r="N150" s="32"/>
    </row>
    <row r="151" spans="1:14" s="36" customFormat="1" ht="14.1" customHeight="1" x14ac:dyDescent="0.25">
      <c r="A151" s="32" t="str">
        <f>IF(B151&lt;&gt;"",_xlfn.TEXTJOIN("-",1,COUNTIF($B$2:$B151,B151),B151:E151),"")</f>
        <v/>
      </c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 t="str">
        <f t="shared" si="3"/>
        <v/>
      </c>
      <c r="N151" s="32"/>
    </row>
    <row r="152" spans="1:14" s="36" customFormat="1" ht="14.1" customHeight="1" x14ac:dyDescent="0.25">
      <c r="A152" s="32" t="str">
        <f>IF(B152&lt;&gt;"",_xlfn.TEXTJOIN("-",1,COUNTIF($B$2:$B152,B152),B152:E152),"")</f>
        <v/>
      </c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 t="str">
        <f t="shared" si="3"/>
        <v/>
      </c>
      <c r="N152" s="32"/>
    </row>
    <row r="153" spans="1:14" s="36" customFormat="1" ht="14.1" customHeight="1" x14ac:dyDescent="0.25">
      <c r="A153" s="32" t="str">
        <f>IF(B153&lt;&gt;"",_xlfn.TEXTJOIN("-",1,COUNTIF($B$2:$B153,B153),B153:E153),"")</f>
        <v/>
      </c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 t="str">
        <f t="shared" si="3"/>
        <v/>
      </c>
      <c r="N153" s="32"/>
    </row>
    <row r="154" spans="1:14" s="36" customFormat="1" ht="14.1" customHeight="1" x14ac:dyDescent="0.25">
      <c r="A154" s="32" t="str">
        <f>IF(B154&lt;&gt;"",_xlfn.TEXTJOIN("-",1,COUNTIF($B$2:$B154,B154),B154:E154),"")</f>
        <v/>
      </c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 t="str">
        <f t="shared" si="3"/>
        <v/>
      </c>
      <c r="N154" s="32"/>
    </row>
    <row r="155" spans="1:14" s="36" customFormat="1" ht="14.1" customHeight="1" x14ac:dyDescent="0.25">
      <c r="A155" s="32" t="str">
        <f>IF(B155&lt;&gt;"",_xlfn.TEXTJOIN("-",1,COUNTIF($B$2:$B155,B155),B155:E155),"")</f>
        <v/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 t="str">
        <f t="shared" si="3"/>
        <v/>
      </c>
      <c r="N155" s="32"/>
    </row>
    <row r="156" spans="1:14" s="36" customFormat="1" ht="14.1" customHeight="1" x14ac:dyDescent="0.25">
      <c r="A156" s="32" t="str">
        <f>IF(B156&lt;&gt;"",_xlfn.TEXTJOIN("-",1,COUNTIF($B$2:$B156,B156),B156:E156),"")</f>
        <v/>
      </c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 t="str">
        <f t="shared" si="3"/>
        <v/>
      </c>
      <c r="N156" s="32"/>
    </row>
    <row r="157" spans="1:14" s="36" customFormat="1" ht="14.1" customHeight="1" x14ac:dyDescent="0.25">
      <c r="A157" s="32" t="str">
        <f>IF(B157&lt;&gt;"",_xlfn.TEXTJOIN("-",1,COUNTIF($B$2:$B157,B157),B157:E157),"")</f>
        <v/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 t="str">
        <f t="shared" si="3"/>
        <v/>
      </c>
      <c r="N157" s="32"/>
    </row>
    <row r="158" spans="1:14" s="36" customFormat="1" ht="14.1" customHeight="1" x14ac:dyDescent="0.25">
      <c r="A158" s="32" t="str">
        <f>IF(B158&lt;&gt;"",_xlfn.TEXTJOIN("-",1,COUNTIF($B$2:$B158,B158),B158:E158),"")</f>
        <v/>
      </c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 t="str">
        <f t="shared" si="3"/>
        <v/>
      </c>
      <c r="N158" s="32"/>
    </row>
    <row r="159" spans="1:14" s="36" customFormat="1" ht="14.1" customHeight="1" x14ac:dyDescent="0.25">
      <c r="A159" s="32" t="str">
        <f>IF(B159&lt;&gt;"",_xlfn.TEXTJOIN("-",1,COUNTIF($B$2:$B159,B159),B159:E159),"")</f>
        <v/>
      </c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 t="str">
        <f t="shared" si="3"/>
        <v/>
      </c>
      <c r="N159" s="32"/>
    </row>
    <row r="160" spans="1:14" s="36" customFormat="1" ht="14.1" customHeight="1" x14ac:dyDescent="0.25">
      <c r="A160" s="32" t="str">
        <f>IF(B160&lt;&gt;"",_xlfn.TEXTJOIN("-",1,COUNTIF($B$2:$B160,B160),B160:E160),"")</f>
        <v/>
      </c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 t="str">
        <f t="shared" si="3"/>
        <v/>
      </c>
      <c r="N160" s="32"/>
    </row>
    <row r="161" spans="1:14" s="36" customFormat="1" ht="14.1" customHeight="1" x14ac:dyDescent="0.25">
      <c r="A161" s="32" t="str">
        <f>IF(B161&lt;&gt;"",_xlfn.TEXTJOIN("-",1,COUNTIF($B$2:$B161,B161),B161:E161),"")</f>
        <v/>
      </c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 t="str">
        <f t="shared" si="3"/>
        <v/>
      </c>
      <c r="N161" s="32"/>
    </row>
    <row r="162" spans="1:14" s="36" customFormat="1" ht="14.1" customHeight="1" x14ac:dyDescent="0.25">
      <c r="A162" s="32" t="str">
        <f>IF(B162&lt;&gt;"",_xlfn.TEXTJOIN("-",1,COUNTIF($B$2:$B162,B162),B162:E162),"")</f>
        <v/>
      </c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 t="str">
        <f t="shared" si="3"/>
        <v/>
      </c>
      <c r="N162" s="32"/>
    </row>
    <row r="163" spans="1:14" s="36" customFormat="1" ht="14.1" customHeight="1" x14ac:dyDescent="0.25">
      <c r="A163" s="32" t="str">
        <f>IF(B163&lt;&gt;"",_xlfn.TEXTJOIN("-",1,COUNTIF($B$2:$B163,B163),B163:E163),"")</f>
        <v/>
      </c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 t="str">
        <f t="shared" si="3"/>
        <v/>
      </c>
      <c r="N163" s="32"/>
    </row>
    <row r="164" spans="1:14" s="36" customFormat="1" ht="14.1" customHeight="1" x14ac:dyDescent="0.25">
      <c r="A164" s="32" t="str">
        <f>IF(B164&lt;&gt;"",_xlfn.TEXTJOIN("-",1,COUNTIF($B$2:$B164,B164),B164:E164),"")</f>
        <v/>
      </c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 t="str">
        <f t="shared" si="3"/>
        <v/>
      </c>
      <c r="N164" s="32"/>
    </row>
    <row r="165" spans="1:14" s="36" customFormat="1" ht="14.1" customHeight="1" x14ac:dyDescent="0.25">
      <c r="A165" s="32" t="str">
        <f>IF(B165&lt;&gt;"",_xlfn.TEXTJOIN("-",1,COUNTIF($B$2:$B165,B165),B165:E165),"")</f>
        <v/>
      </c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 t="str">
        <f t="shared" si="3"/>
        <v/>
      </c>
      <c r="N165" s="32"/>
    </row>
    <row r="166" spans="1:14" s="36" customFormat="1" ht="14.1" customHeight="1" x14ac:dyDescent="0.25">
      <c r="A166" s="32" t="str">
        <f>IF(B166&lt;&gt;"",_xlfn.TEXTJOIN("-",1,COUNTIF($B$2:$B166,B166),B166:E166),"")</f>
        <v/>
      </c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 t="str">
        <f t="shared" si="3"/>
        <v/>
      </c>
      <c r="N166" s="32"/>
    </row>
    <row r="167" spans="1:14" s="36" customFormat="1" ht="14.1" customHeight="1" x14ac:dyDescent="0.25">
      <c r="A167" s="32" t="str">
        <f>IF(B167&lt;&gt;"",_xlfn.TEXTJOIN("-",1,COUNTIF($B$2:$B167,B167),B167:E167),"")</f>
        <v/>
      </c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 t="str">
        <f t="shared" si="3"/>
        <v/>
      </c>
      <c r="N167" s="32"/>
    </row>
    <row r="168" spans="1:14" s="36" customFormat="1" ht="14.1" customHeight="1" x14ac:dyDescent="0.25">
      <c r="A168" s="32" t="str">
        <f>IF(B168&lt;&gt;"",_xlfn.TEXTJOIN("-",1,COUNTIF($B$2:$B168,B168),B168:E168),"")</f>
        <v/>
      </c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 t="str">
        <f t="shared" si="3"/>
        <v/>
      </c>
      <c r="N168" s="32"/>
    </row>
    <row r="169" spans="1:14" s="36" customFormat="1" ht="14.1" customHeight="1" x14ac:dyDescent="0.25">
      <c r="A169" s="32" t="str">
        <f>IF(B169&lt;&gt;"",_xlfn.TEXTJOIN("-",1,COUNTIF($B$2:$B169,B169),B169:E169),"")</f>
        <v/>
      </c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 t="str">
        <f t="shared" si="3"/>
        <v/>
      </c>
      <c r="N169" s="32"/>
    </row>
    <row r="170" spans="1:14" s="36" customFormat="1" ht="14.1" customHeight="1" x14ac:dyDescent="0.25">
      <c r="A170" s="32" t="str">
        <f>IF(B170&lt;&gt;"",_xlfn.TEXTJOIN("-",1,COUNTIF($B$2:$B170,B170),B170:E170),"")</f>
        <v/>
      </c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 t="str">
        <f t="shared" si="3"/>
        <v/>
      </c>
      <c r="N170" s="32"/>
    </row>
    <row r="171" spans="1:14" s="36" customFormat="1" ht="14.1" customHeight="1" x14ac:dyDescent="0.25">
      <c r="A171" s="32" t="str">
        <f>IF(B171&lt;&gt;"",_xlfn.TEXTJOIN("-",1,COUNTIF($B$2:$B171,B171),B171:E171),"")</f>
        <v/>
      </c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 t="str">
        <f t="shared" si="3"/>
        <v/>
      </c>
      <c r="N171" s="32"/>
    </row>
    <row r="172" spans="1:14" s="36" customFormat="1" ht="14.1" customHeight="1" x14ac:dyDescent="0.25">
      <c r="A172" s="32" t="str">
        <f>IF(B172&lt;&gt;"",_xlfn.TEXTJOIN("-",1,COUNTIF($B$2:$B172,B172),B172:E172),"")</f>
        <v/>
      </c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 t="str">
        <f t="shared" si="3"/>
        <v/>
      </c>
      <c r="N172" s="32"/>
    </row>
    <row r="173" spans="1:14" s="36" customFormat="1" ht="14.1" customHeight="1" x14ac:dyDescent="0.25">
      <c r="A173" s="32" t="str">
        <f>IF(B173&lt;&gt;"",_xlfn.TEXTJOIN("-",1,COUNTIF($B$2:$B173,B173),B173:E173),"")</f>
        <v/>
      </c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 t="str">
        <f t="shared" si="3"/>
        <v/>
      </c>
      <c r="N173" s="32"/>
    </row>
    <row r="174" spans="1:14" s="36" customFormat="1" ht="14.1" customHeight="1" x14ac:dyDescent="0.25">
      <c r="A174" s="32" t="str">
        <f>IF(B174&lt;&gt;"",_xlfn.TEXTJOIN("-",1,COUNTIF($B$2:$B174,B174),B174:E174),"")</f>
        <v/>
      </c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 t="str">
        <f t="shared" si="3"/>
        <v/>
      </c>
      <c r="N174" s="32"/>
    </row>
    <row r="175" spans="1:14" s="36" customFormat="1" ht="14.1" customHeight="1" x14ac:dyDescent="0.25">
      <c r="A175" s="32" t="str">
        <f>IF(B175&lt;&gt;"",_xlfn.TEXTJOIN("-",1,COUNTIF($B$2:$B175,B175),B175:E175),"")</f>
        <v/>
      </c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 t="str">
        <f t="shared" si="3"/>
        <v/>
      </c>
      <c r="N175" s="32"/>
    </row>
    <row r="176" spans="1:14" s="36" customFormat="1" ht="14.1" customHeight="1" x14ac:dyDescent="0.25">
      <c r="A176" s="32" t="str">
        <f>IF(B176&lt;&gt;"",_xlfn.TEXTJOIN("-",1,COUNTIF($B$2:$B176,B176),B176:E176),"")</f>
        <v/>
      </c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 t="str">
        <f t="shared" si="3"/>
        <v/>
      </c>
      <c r="N176" s="32"/>
    </row>
    <row r="177" spans="1:14" s="36" customFormat="1" ht="14.1" customHeight="1" x14ac:dyDescent="0.25">
      <c r="A177" s="32" t="str">
        <f>IF(B177&lt;&gt;"",_xlfn.TEXTJOIN("-",1,COUNTIF($B$2:$B177,B177),B177:E177),"")</f>
        <v/>
      </c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 t="str">
        <f t="shared" si="3"/>
        <v/>
      </c>
      <c r="N177" s="32"/>
    </row>
    <row r="178" spans="1:14" s="36" customFormat="1" ht="14.1" customHeight="1" x14ac:dyDescent="0.25">
      <c r="A178" s="32" t="str">
        <f>IF(B178&lt;&gt;"",_xlfn.TEXTJOIN("-",1,COUNTIF($B$2:$B178,B178),B178:E178),"")</f>
        <v/>
      </c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 t="str">
        <f t="shared" si="3"/>
        <v/>
      </c>
      <c r="N178" s="32"/>
    </row>
    <row r="179" spans="1:14" s="36" customFormat="1" ht="14.1" customHeight="1" x14ac:dyDescent="0.25">
      <c r="A179" s="32" t="str">
        <f>IF(B179&lt;&gt;"",_xlfn.TEXTJOIN("-",1,COUNTIF($B$2:$B179,B179),B179:E179),"")</f>
        <v/>
      </c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 t="str">
        <f t="shared" si="3"/>
        <v/>
      </c>
      <c r="N179" s="32"/>
    </row>
    <row r="180" spans="1:14" s="36" customFormat="1" ht="14.1" customHeight="1" x14ac:dyDescent="0.25">
      <c r="A180" s="32" t="str">
        <f>IF(B180&lt;&gt;"",_xlfn.TEXTJOIN("-",1,COUNTIF($B$2:$B180,B180),B180:E180),"")</f>
        <v/>
      </c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 t="str">
        <f t="shared" si="3"/>
        <v/>
      </c>
      <c r="N180" s="32"/>
    </row>
    <row r="181" spans="1:14" s="36" customFormat="1" ht="14.1" customHeight="1" x14ac:dyDescent="0.25">
      <c r="A181" s="32" t="str">
        <f>IF(B181&lt;&gt;"",_xlfn.TEXTJOIN("-",1,COUNTIF($B$2:$B181,B181),B181:E181),"")</f>
        <v/>
      </c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 t="str">
        <f t="shared" si="3"/>
        <v/>
      </c>
      <c r="N181" s="32"/>
    </row>
    <row r="182" spans="1:14" s="36" customFormat="1" ht="14.1" customHeight="1" x14ac:dyDescent="0.25">
      <c r="A182" s="32" t="str">
        <f>IF(B182&lt;&gt;"",_xlfn.TEXTJOIN("-",1,COUNTIF($B$2:$B182,B182),B182:E182),"")</f>
        <v/>
      </c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 t="str">
        <f t="shared" si="3"/>
        <v/>
      </c>
      <c r="N182" s="32"/>
    </row>
    <row r="183" spans="1:14" s="36" customFormat="1" ht="14.1" customHeight="1" x14ac:dyDescent="0.25">
      <c r="A183" s="32" t="str">
        <f>IF(B183&lt;&gt;"",_xlfn.TEXTJOIN("-",1,COUNTIF($B$2:$B183,B183),B183:E183),"")</f>
        <v/>
      </c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2" t="str">
        <f t="shared" si="3"/>
        <v/>
      </c>
      <c r="N183" s="32"/>
    </row>
    <row r="184" spans="1:14" s="36" customFormat="1" ht="14.1" customHeight="1" x14ac:dyDescent="0.25">
      <c r="A184" s="32" t="str">
        <f>IF(B184&lt;&gt;"",_xlfn.TEXTJOIN("-",1,COUNTIF($B$2:$B184,B184),B184:E184),"")</f>
        <v/>
      </c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2" t="str">
        <f t="shared" si="3"/>
        <v/>
      </c>
      <c r="N184" s="32"/>
    </row>
    <row r="185" spans="1:14" s="36" customFormat="1" ht="14.1" customHeight="1" x14ac:dyDescent="0.25">
      <c r="A185" s="32" t="str">
        <f>IF(B185&lt;&gt;"",_xlfn.TEXTJOIN("-",1,COUNTIF($B$2:$B185,B185),B185:E185),"")</f>
        <v/>
      </c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2" t="str">
        <f t="shared" si="3"/>
        <v/>
      </c>
      <c r="N185" s="32"/>
    </row>
    <row r="186" spans="1:14" s="36" customFormat="1" ht="14.1" customHeight="1" x14ac:dyDescent="0.25">
      <c r="A186" s="32" t="str">
        <f>IF(B186&lt;&gt;"",_xlfn.TEXTJOIN("-",1,COUNTIF($B$2:$B186,B186),B186:E186),"")</f>
        <v/>
      </c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2" t="str">
        <f t="shared" si="3"/>
        <v/>
      </c>
      <c r="N186" s="32"/>
    </row>
    <row r="187" spans="1:14" s="36" customFormat="1" ht="14.1" customHeight="1" x14ac:dyDescent="0.25">
      <c r="A187" s="32" t="str">
        <f>IF(B187&lt;&gt;"",_xlfn.TEXTJOIN("-",1,COUNTIF($B$2:$B187,B187),B187:E187),"")</f>
        <v/>
      </c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 t="str">
        <f t="shared" si="3"/>
        <v/>
      </c>
      <c r="N187" s="32"/>
    </row>
    <row r="188" spans="1:14" s="36" customFormat="1" ht="14.1" customHeight="1" x14ac:dyDescent="0.25">
      <c r="A188" s="32" t="str">
        <f>IF(B188&lt;&gt;"",_xlfn.TEXTJOIN("-",1,COUNTIF($B$2:$B188,B188),B188:E188),"")</f>
        <v/>
      </c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2" t="str">
        <f t="shared" si="3"/>
        <v/>
      </c>
      <c r="N188" s="32"/>
    </row>
    <row r="189" spans="1:14" s="36" customFormat="1" ht="14.1" customHeight="1" x14ac:dyDescent="0.25">
      <c r="A189" s="32" t="str">
        <f>IF(B189&lt;&gt;"",_xlfn.TEXTJOIN("-",1,COUNTIF($B$2:$B189,B189),B189:E189),"")</f>
        <v/>
      </c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 t="str">
        <f t="shared" si="3"/>
        <v/>
      </c>
      <c r="N189" s="32"/>
    </row>
    <row r="190" spans="1:14" s="36" customFormat="1" ht="14.1" customHeight="1" x14ac:dyDescent="0.25">
      <c r="A190" s="32" t="str">
        <f>IF(B190&lt;&gt;"",_xlfn.TEXTJOIN("-",1,COUNTIF($B$2:$B190,B190),B190:E190),"")</f>
        <v/>
      </c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 t="str">
        <f t="shared" si="3"/>
        <v/>
      </c>
      <c r="N190" s="32"/>
    </row>
    <row r="191" spans="1:14" s="36" customFormat="1" ht="14.1" customHeight="1" x14ac:dyDescent="0.25">
      <c r="A191" s="32" t="str">
        <f>IF(B191&lt;&gt;"",_xlfn.TEXTJOIN("-",1,COUNTIF($B$2:$B191,B191),B191:E191),"")</f>
        <v/>
      </c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2" t="str">
        <f t="shared" si="3"/>
        <v/>
      </c>
      <c r="N191" s="32"/>
    </row>
    <row r="192" spans="1:14" s="36" customFormat="1" ht="14.1" customHeight="1" x14ac:dyDescent="0.25">
      <c r="A192" s="32" t="str">
        <f>IF(B192&lt;&gt;"",_xlfn.TEXTJOIN("-",1,COUNTIF($B$2:$B192,B192),B192:E192),"")</f>
        <v/>
      </c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2" t="str">
        <f t="shared" si="3"/>
        <v/>
      </c>
      <c r="N192" s="32"/>
    </row>
    <row r="193" spans="1:14" s="36" customFormat="1" ht="14.1" customHeight="1" x14ac:dyDescent="0.25">
      <c r="A193" s="32" t="str">
        <f>IF(B193&lt;&gt;"",_xlfn.TEXTJOIN("-",1,COUNTIF($B$2:$B193,B193),B193:E193),"")</f>
        <v/>
      </c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 t="str">
        <f t="shared" si="3"/>
        <v/>
      </c>
      <c r="N193" s="32"/>
    </row>
    <row r="194" spans="1:14" s="36" customFormat="1" ht="14.1" customHeight="1" x14ac:dyDescent="0.25">
      <c r="A194" s="32" t="str">
        <f>IF(B194&lt;&gt;"",_xlfn.TEXTJOIN("-",1,COUNTIF($B$2:$B194,B194),B194:E194),"")</f>
        <v/>
      </c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 t="str">
        <f t="shared" si="3"/>
        <v/>
      </c>
      <c r="N194" s="32"/>
    </row>
    <row r="195" spans="1:14" s="36" customFormat="1" ht="14.1" customHeight="1" x14ac:dyDescent="0.25">
      <c r="A195" s="32" t="str">
        <f>IF(B195&lt;&gt;"",_xlfn.TEXTJOIN("-",1,COUNTIF($B$2:$B195,B195),B195:E195),"")</f>
        <v/>
      </c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2" t="str">
        <f t="shared" ref="M195:M258" si="4">IF(B195="FN",_xlfn.CONCAT("egor.v.ivanov+",LEFT(C195,1),"_",LEFT(D195,2),"_",E195,"@outlook.com"),"")</f>
        <v/>
      </c>
      <c r="N195" s="32"/>
    </row>
    <row r="196" spans="1:14" s="36" customFormat="1" ht="14.1" customHeight="1" x14ac:dyDescent="0.25">
      <c r="A196" s="32" t="str">
        <f>IF(B196&lt;&gt;"",_xlfn.TEXTJOIN("-",1,COUNTIF($B$2:$B196,B196),B196:E196),"")</f>
        <v/>
      </c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  <c r="M196" s="32" t="str">
        <f t="shared" si="4"/>
        <v/>
      </c>
      <c r="N196" s="32"/>
    </row>
    <row r="197" spans="1:14" s="36" customFormat="1" ht="14.1" customHeight="1" x14ac:dyDescent="0.25">
      <c r="A197" s="32" t="str">
        <f>IF(B197&lt;&gt;"",_xlfn.TEXTJOIN("-",1,COUNTIF($B$2:$B197,B197),B197:E197),"")</f>
        <v/>
      </c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 t="str">
        <f t="shared" si="4"/>
        <v/>
      </c>
      <c r="N197" s="32"/>
    </row>
    <row r="198" spans="1:14" s="36" customFormat="1" ht="14.1" customHeight="1" x14ac:dyDescent="0.25">
      <c r="A198" s="32" t="str">
        <f>IF(B198&lt;&gt;"",_xlfn.TEXTJOIN("-",1,COUNTIF($B$2:$B198,B198),B198:E198),"")</f>
        <v/>
      </c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 t="str">
        <f t="shared" si="4"/>
        <v/>
      </c>
      <c r="N198" s="32"/>
    </row>
    <row r="199" spans="1:14" s="36" customFormat="1" ht="14.1" customHeight="1" x14ac:dyDescent="0.25">
      <c r="A199" s="32" t="str">
        <f>IF(B199&lt;&gt;"",_xlfn.TEXTJOIN("-",1,COUNTIF($B$2:$B199,B199),B199:E199),"")</f>
        <v/>
      </c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  <c r="M199" s="32" t="str">
        <f t="shared" si="4"/>
        <v/>
      </c>
      <c r="N199" s="32"/>
    </row>
    <row r="200" spans="1:14" s="36" customFormat="1" ht="14.1" customHeight="1" x14ac:dyDescent="0.25">
      <c r="A200" s="32" t="str">
        <f>IF(B200&lt;&gt;"",_xlfn.TEXTJOIN("-",1,COUNTIF($B$2:$B200,B200),B200:E200),"")</f>
        <v/>
      </c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  <c r="M200" s="32" t="str">
        <f t="shared" si="4"/>
        <v/>
      </c>
      <c r="N200" s="32"/>
    </row>
    <row r="201" spans="1:14" s="36" customFormat="1" ht="14.1" customHeight="1" x14ac:dyDescent="0.25">
      <c r="A201" s="32" t="str">
        <f>IF(B201&lt;&gt;"",_xlfn.TEXTJOIN("-",1,COUNTIF($B$2:$B201,B201),B201:E201),"")</f>
        <v/>
      </c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  <c r="M201" s="32" t="str">
        <f t="shared" si="4"/>
        <v/>
      </c>
      <c r="N201" s="32"/>
    </row>
    <row r="202" spans="1:14" s="36" customFormat="1" ht="14.1" customHeight="1" x14ac:dyDescent="0.25">
      <c r="A202" s="32" t="str">
        <f>IF(B202&lt;&gt;"",_xlfn.TEXTJOIN("-",1,COUNTIF($B$2:$B202,B202),B202:E202),"")</f>
        <v/>
      </c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 t="str">
        <f t="shared" si="4"/>
        <v/>
      </c>
      <c r="N202" s="32"/>
    </row>
    <row r="203" spans="1:14" s="36" customFormat="1" ht="14.1" customHeight="1" x14ac:dyDescent="0.25">
      <c r="A203" s="32" t="str">
        <f>IF(B203&lt;&gt;"",_xlfn.TEXTJOIN("-",1,COUNTIF($B$2:$B203,B203),B203:E203),"")</f>
        <v/>
      </c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 t="str">
        <f t="shared" si="4"/>
        <v/>
      </c>
      <c r="N203" s="32"/>
    </row>
    <row r="204" spans="1:14" s="36" customFormat="1" ht="14.1" customHeight="1" x14ac:dyDescent="0.25">
      <c r="A204" s="32" t="str">
        <f>IF(B204&lt;&gt;"",_xlfn.TEXTJOIN("-",1,COUNTIF($B$2:$B204,B204),B204:E204),"")</f>
        <v/>
      </c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 t="str">
        <f t="shared" si="4"/>
        <v/>
      </c>
      <c r="N204" s="32"/>
    </row>
    <row r="205" spans="1:14" s="36" customFormat="1" ht="14.1" customHeight="1" x14ac:dyDescent="0.25">
      <c r="A205" s="32" t="str">
        <f>IF(B205&lt;&gt;"",_xlfn.TEXTJOIN("-",1,COUNTIF($B$2:$B205,B205),B205:E205),"")</f>
        <v/>
      </c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 t="str">
        <f t="shared" si="4"/>
        <v/>
      </c>
      <c r="N205" s="32"/>
    </row>
    <row r="206" spans="1:14" s="36" customFormat="1" ht="14.1" customHeight="1" x14ac:dyDescent="0.25">
      <c r="A206" s="32" t="str">
        <f>IF(B206&lt;&gt;"",_xlfn.TEXTJOIN("-",1,COUNTIF($B$2:$B206,B206),B206:E206),"")</f>
        <v/>
      </c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  <c r="M206" s="32" t="str">
        <f t="shared" si="4"/>
        <v/>
      </c>
      <c r="N206" s="32"/>
    </row>
    <row r="207" spans="1:14" s="36" customFormat="1" ht="14.1" customHeight="1" x14ac:dyDescent="0.25">
      <c r="A207" s="32" t="str">
        <f>IF(B207&lt;&gt;"",_xlfn.TEXTJOIN("-",1,COUNTIF($B$2:$B207,B207),B207:E207),"")</f>
        <v/>
      </c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  <c r="M207" s="32" t="str">
        <f t="shared" si="4"/>
        <v/>
      </c>
      <c r="N207" s="32"/>
    </row>
    <row r="208" spans="1:14" s="36" customFormat="1" ht="14.1" customHeight="1" x14ac:dyDescent="0.25">
      <c r="A208" s="32" t="str">
        <f>IF(B208&lt;&gt;"",_xlfn.TEXTJOIN("-",1,COUNTIF($B$2:$B208,B208),B208:E208),"")</f>
        <v/>
      </c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  <c r="M208" s="32" t="str">
        <f t="shared" si="4"/>
        <v/>
      </c>
      <c r="N208" s="32"/>
    </row>
    <row r="209" spans="1:14" s="36" customFormat="1" ht="14.1" customHeight="1" x14ac:dyDescent="0.25">
      <c r="A209" s="32" t="str">
        <f>IF(B209&lt;&gt;"",_xlfn.TEXTJOIN("-",1,COUNTIF($B$2:$B209,B209),B209:E209),"")</f>
        <v/>
      </c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 t="str">
        <f t="shared" si="4"/>
        <v/>
      </c>
      <c r="N209" s="32"/>
    </row>
    <row r="210" spans="1:14" s="36" customFormat="1" ht="14.1" customHeight="1" x14ac:dyDescent="0.25">
      <c r="A210" s="32" t="str">
        <f>IF(B210&lt;&gt;"",_xlfn.TEXTJOIN("-",1,COUNTIF($B$2:$B210,B210),B210:E210),"")</f>
        <v/>
      </c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  <c r="M210" s="32" t="str">
        <f t="shared" si="4"/>
        <v/>
      </c>
      <c r="N210" s="32"/>
    </row>
    <row r="211" spans="1:14" s="36" customFormat="1" ht="14.1" customHeight="1" x14ac:dyDescent="0.25">
      <c r="A211" s="32" t="str">
        <f>IF(B211&lt;&gt;"",_xlfn.TEXTJOIN("-",1,COUNTIF($B$2:$B211,B211),B211:E211),"")</f>
        <v/>
      </c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 t="str">
        <f t="shared" si="4"/>
        <v/>
      </c>
      <c r="N211" s="32"/>
    </row>
    <row r="212" spans="1:14" s="36" customFormat="1" ht="14.1" customHeight="1" x14ac:dyDescent="0.25">
      <c r="A212" s="32" t="str">
        <f>IF(B212&lt;&gt;"",_xlfn.TEXTJOIN("-",1,COUNTIF($B$2:$B212,B212),B212:E212),"")</f>
        <v/>
      </c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  <c r="M212" s="32" t="str">
        <f t="shared" si="4"/>
        <v/>
      </c>
      <c r="N212" s="32"/>
    </row>
    <row r="213" spans="1:14" s="36" customFormat="1" ht="14.1" customHeight="1" x14ac:dyDescent="0.25">
      <c r="A213" s="32" t="str">
        <f>IF(B213&lt;&gt;"",_xlfn.TEXTJOIN("-",1,COUNTIF($B$2:$B213,B213),B213:E213),"")</f>
        <v/>
      </c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  <c r="M213" s="32" t="str">
        <f t="shared" si="4"/>
        <v/>
      </c>
      <c r="N213" s="32"/>
    </row>
    <row r="214" spans="1:14" s="36" customFormat="1" ht="14.1" customHeight="1" x14ac:dyDescent="0.25">
      <c r="A214" s="32" t="str">
        <f>IF(B214&lt;&gt;"",_xlfn.TEXTJOIN("-",1,COUNTIF($B$2:$B214,B214),B214:E214),"")</f>
        <v/>
      </c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  <c r="M214" s="32" t="str">
        <f t="shared" si="4"/>
        <v/>
      </c>
      <c r="N214" s="32"/>
    </row>
    <row r="215" spans="1:14" s="36" customFormat="1" ht="14.1" customHeight="1" x14ac:dyDescent="0.25">
      <c r="A215" s="32" t="str">
        <f>IF(B215&lt;&gt;"",_xlfn.TEXTJOIN("-",1,COUNTIF($B$2:$B215,B215),B215:E215),"")</f>
        <v/>
      </c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 t="str">
        <f t="shared" si="4"/>
        <v/>
      </c>
      <c r="N215" s="32"/>
    </row>
    <row r="216" spans="1:14" s="36" customFormat="1" ht="14.1" customHeight="1" x14ac:dyDescent="0.25">
      <c r="A216" s="32" t="str">
        <f>IF(B216&lt;&gt;"",_xlfn.TEXTJOIN("-",1,COUNTIF($B$2:$B216,B216),B216:E216),"")</f>
        <v/>
      </c>
      <c r="B216" s="32"/>
      <c r="C216" s="32"/>
      <c r="D216" s="32"/>
      <c r="E216" s="32"/>
      <c r="F216" s="32"/>
      <c r="G216" s="32"/>
      <c r="H216" s="32"/>
      <c r="I216" s="32"/>
      <c r="J216" s="32"/>
      <c r="K216" s="32"/>
      <c r="L216" s="32"/>
      <c r="M216" s="32" t="str">
        <f t="shared" si="4"/>
        <v/>
      </c>
      <c r="N216" s="32"/>
    </row>
    <row r="217" spans="1:14" s="36" customFormat="1" ht="14.1" customHeight="1" x14ac:dyDescent="0.25">
      <c r="A217" s="32" t="str">
        <f>IF(B217&lt;&gt;"",_xlfn.TEXTJOIN("-",1,COUNTIF($B$2:$B217,B217),B217:E217),"")</f>
        <v/>
      </c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 t="str">
        <f t="shared" si="4"/>
        <v/>
      </c>
      <c r="N217" s="32"/>
    </row>
    <row r="218" spans="1:14" s="36" customFormat="1" ht="14.1" customHeight="1" x14ac:dyDescent="0.25">
      <c r="A218" s="32" t="str">
        <f>IF(B218&lt;&gt;"",_xlfn.TEXTJOIN("-",1,COUNTIF($B$2:$B218,B218),B218:E218),"")</f>
        <v/>
      </c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 t="str">
        <f t="shared" si="4"/>
        <v/>
      </c>
      <c r="N218" s="32"/>
    </row>
    <row r="219" spans="1:14" s="36" customFormat="1" ht="14.1" customHeight="1" x14ac:dyDescent="0.25">
      <c r="A219" s="32" t="str">
        <f>IF(B219&lt;&gt;"",_xlfn.TEXTJOIN("-",1,COUNTIF($B$2:$B219,B219),B219:E219),"")</f>
        <v/>
      </c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/>
      <c r="M219" s="32" t="str">
        <f t="shared" si="4"/>
        <v/>
      </c>
      <c r="N219" s="32"/>
    </row>
    <row r="220" spans="1:14" s="36" customFormat="1" ht="14.1" customHeight="1" x14ac:dyDescent="0.25">
      <c r="A220" s="32" t="str">
        <f>IF(B220&lt;&gt;"",_xlfn.TEXTJOIN("-",1,COUNTIF($B$2:$B220,B220),B220:E220),"")</f>
        <v/>
      </c>
      <c r="B220" s="32"/>
      <c r="C220" s="32"/>
      <c r="D220" s="32"/>
      <c r="E220" s="32"/>
      <c r="F220" s="32"/>
      <c r="G220" s="32"/>
      <c r="H220" s="32"/>
      <c r="I220" s="32"/>
      <c r="J220" s="32"/>
      <c r="K220" s="32"/>
      <c r="L220" s="32"/>
      <c r="M220" s="32" t="str">
        <f t="shared" si="4"/>
        <v/>
      </c>
      <c r="N220" s="32"/>
    </row>
    <row r="221" spans="1:14" s="36" customFormat="1" ht="14.1" customHeight="1" x14ac:dyDescent="0.25">
      <c r="A221" s="32" t="str">
        <f>IF(B221&lt;&gt;"",_xlfn.TEXTJOIN("-",1,COUNTIF($B$2:$B221,B221),B221:E221),"")</f>
        <v/>
      </c>
      <c r="B221" s="32"/>
      <c r="C221" s="32"/>
      <c r="D221" s="32"/>
      <c r="E221" s="32"/>
      <c r="F221" s="32"/>
      <c r="G221" s="32"/>
      <c r="H221" s="32"/>
      <c r="I221" s="32"/>
      <c r="J221" s="32"/>
      <c r="K221" s="32"/>
      <c r="L221" s="32"/>
      <c r="M221" s="32" t="str">
        <f t="shared" si="4"/>
        <v/>
      </c>
      <c r="N221" s="32"/>
    </row>
    <row r="222" spans="1:14" s="36" customFormat="1" ht="14.1" customHeight="1" x14ac:dyDescent="0.25">
      <c r="A222" s="32" t="str">
        <f>IF(B222&lt;&gt;"",_xlfn.TEXTJOIN("-",1,COUNTIF($B$2:$B222,B222),B222:E222),"")</f>
        <v/>
      </c>
      <c r="B222" s="32"/>
      <c r="C222" s="32"/>
      <c r="D222" s="32"/>
      <c r="E222" s="32"/>
      <c r="F222" s="32"/>
      <c r="G222" s="32"/>
      <c r="H222" s="32"/>
      <c r="I222" s="32"/>
      <c r="J222" s="32"/>
      <c r="K222" s="32"/>
      <c r="L222" s="32"/>
      <c r="M222" s="32" t="str">
        <f t="shared" si="4"/>
        <v/>
      </c>
      <c r="N222" s="32"/>
    </row>
    <row r="223" spans="1:14" s="36" customFormat="1" ht="14.1" customHeight="1" x14ac:dyDescent="0.25">
      <c r="A223" s="32" t="str">
        <f>IF(B223&lt;&gt;"",_xlfn.TEXTJOIN("-",1,COUNTIF($B$2:$B223,B223),B223:E223),"")</f>
        <v/>
      </c>
      <c r="B223" s="32"/>
      <c r="C223" s="32"/>
      <c r="D223" s="32"/>
      <c r="E223" s="32"/>
      <c r="F223" s="32"/>
      <c r="G223" s="32"/>
      <c r="H223" s="32"/>
      <c r="I223" s="32"/>
      <c r="J223" s="32"/>
      <c r="K223" s="32"/>
      <c r="L223" s="32"/>
      <c r="M223" s="32" t="str">
        <f t="shared" si="4"/>
        <v/>
      </c>
      <c r="N223" s="32"/>
    </row>
    <row r="224" spans="1:14" s="36" customFormat="1" ht="14.1" customHeight="1" x14ac:dyDescent="0.25">
      <c r="A224" s="32" t="str">
        <f>IF(B224&lt;&gt;"",_xlfn.TEXTJOIN("-",1,COUNTIF($B$2:$B224,B224),B224:E224),"")</f>
        <v/>
      </c>
      <c r="B224" s="32"/>
      <c r="C224" s="32"/>
      <c r="D224" s="32"/>
      <c r="E224" s="32"/>
      <c r="F224" s="32"/>
      <c r="G224" s="32"/>
      <c r="H224" s="32"/>
      <c r="I224" s="32"/>
      <c r="J224" s="32"/>
      <c r="K224" s="32"/>
      <c r="L224" s="32"/>
      <c r="M224" s="32" t="str">
        <f t="shared" si="4"/>
        <v/>
      </c>
      <c r="N224" s="32"/>
    </row>
    <row r="225" spans="1:14" s="36" customFormat="1" ht="14.1" customHeight="1" x14ac:dyDescent="0.25">
      <c r="A225" s="32" t="str">
        <f>IF(B225&lt;&gt;"",_xlfn.TEXTJOIN("-",1,COUNTIF($B$2:$B225,B225),B225:E225),"")</f>
        <v/>
      </c>
      <c r="B225" s="32"/>
      <c r="C225" s="32"/>
      <c r="D225" s="32"/>
      <c r="E225" s="32"/>
      <c r="F225" s="32"/>
      <c r="G225" s="32"/>
      <c r="H225" s="32"/>
      <c r="I225" s="32"/>
      <c r="J225" s="32"/>
      <c r="K225" s="32"/>
      <c r="L225" s="32"/>
      <c r="M225" s="32" t="str">
        <f t="shared" si="4"/>
        <v/>
      </c>
      <c r="N225" s="32"/>
    </row>
    <row r="226" spans="1:14" s="36" customFormat="1" ht="14.1" customHeight="1" x14ac:dyDescent="0.25">
      <c r="A226" s="32" t="str">
        <f>IF(B226&lt;&gt;"",_xlfn.TEXTJOIN("-",1,COUNTIF($B$2:$B226,B226),B226:E226),"")</f>
        <v/>
      </c>
      <c r="B226" s="32"/>
      <c r="C226" s="32"/>
      <c r="D226" s="32"/>
      <c r="E226" s="32"/>
      <c r="F226" s="32"/>
      <c r="G226" s="32"/>
      <c r="H226" s="32"/>
      <c r="I226" s="32"/>
      <c r="J226" s="32"/>
      <c r="K226" s="32"/>
      <c r="L226" s="32"/>
      <c r="M226" s="32" t="str">
        <f t="shared" si="4"/>
        <v/>
      </c>
      <c r="N226" s="32"/>
    </row>
    <row r="227" spans="1:14" s="36" customFormat="1" ht="14.1" customHeight="1" x14ac:dyDescent="0.25">
      <c r="A227" s="32" t="str">
        <f>IF(B227&lt;&gt;"",_xlfn.TEXTJOIN("-",1,COUNTIF($B$2:$B227,B227),B227:E227),"")</f>
        <v/>
      </c>
      <c r="B227" s="32"/>
      <c r="C227" s="32"/>
      <c r="D227" s="32"/>
      <c r="E227" s="32"/>
      <c r="F227" s="32"/>
      <c r="G227" s="32"/>
      <c r="H227" s="32"/>
      <c r="I227" s="32"/>
      <c r="J227" s="32"/>
      <c r="K227" s="32"/>
      <c r="L227" s="32"/>
      <c r="M227" s="32" t="str">
        <f t="shared" si="4"/>
        <v/>
      </c>
      <c r="N227" s="32"/>
    </row>
    <row r="228" spans="1:14" s="36" customFormat="1" ht="14.1" customHeight="1" x14ac:dyDescent="0.25">
      <c r="A228" s="32" t="str">
        <f>IF(B228&lt;&gt;"",_xlfn.TEXTJOIN("-",1,COUNTIF($B$2:$B228,B228),B228:E228),"")</f>
        <v/>
      </c>
      <c r="B228" s="32"/>
      <c r="C228" s="32"/>
      <c r="D228" s="32"/>
      <c r="E228" s="32"/>
      <c r="F228" s="32"/>
      <c r="G228" s="32"/>
      <c r="H228" s="32"/>
      <c r="I228" s="32"/>
      <c r="J228" s="32"/>
      <c r="K228" s="32"/>
      <c r="L228" s="32"/>
      <c r="M228" s="32" t="str">
        <f t="shared" si="4"/>
        <v/>
      </c>
      <c r="N228" s="32"/>
    </row>
    <row r="229" spans="1:14" s="36" customFormat="1" ht="14.1" customHeight="1" x14ac:dyDescent="0.25">
      <c r="A229" s="32" t="str">
        <f>IF(B229&lt;&gt;"",_xlfn.TEXTJOIN("-",1,COUNTIF($B$2:$B229,B229),B229:E229),"")</f>
        <v/>
      </c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 t="str">
        <f t="shared" si="4"/>
        <v/>
      </c>
      <c r="N229" s="32"/>
    </row>
    <row r="230" spans="1:14" s="36" customFormat="1" ht="14.1" customHeight="1" x14ac:dyDescent="0.25">
      <c r="A230" s="32" t="str">
        <f>IF(B230&lt;&gt;"",_xlfn.TEXTJOIN("-",1,COUNTIF($B$2:$B230,B230),B230:E230),"")</f>
        <v/>
      </c>
      <c r="B230" s="32"/>
      <c r="C230" s="32"/>
      <c r="D230" s="32"/>
      <c r="E230" s="32"/>
      <c r="F230" s="32"/>
      <c r="G230" s="32"/>
      <c r="H230" s="32"/>
      <c r="I230" s="32"/>
      <c r="J230" s="32"/>
      <c r="K230" s="32"/>
      <c r="L230" s="32"/>
      <c r="M230" s="32" t="str">
        <f t="shared" si="4"/>
        <v/>
      </c>
      <c r="N230" s="32"/>
    </row>
    <row r="231" spans="1:14" s="36" customFormat="1" ht="14.1" customHeight="1" x14ac:dyDescent="0.25">
      <c r="A231" s="32" t="str">
        <f>IF(B231&lt;&gt;"",_xlfn.TEXTJOIN("-",1,COUNTIF($B$2:$B231,B231),B231:E231),"")</f>
        <v/>
      </c>
      <c r="B231" s="32"/>
      <c r="C231" s="32"/>
      <c r="D231" s="32"/>
      <c r="E231" s="32"/>
      <c r="F231" s="32"/>
      <c r="G231" s="32"/>
      <c r="H231" s="32"/>
      <c r="I231" s="32"/>
      <c r="J231" s="32"/>
      <c r="K231" s="32"/>
      <c r="L231" s="32"/>
      <c r="M231" s="32" t="str">
        <f t="shared" si="4"/>
        <v/>
      </c>
      <c r="N231" s="32"/>
    </row>
    <row r="232" spans="1:14" s="36" customFormat="1" ht="14.1" customHeight="1" x14ac:dyDescent="0.25">
      <c r="A232" s="32" t="str">
        <f>IF(B232&lt;&gt;"",_xlfn.TEXTJOIN("-",1,COUNTIF($B$2:$B232,B232),B232:E232),"")</f>
        <v/>
      </c>
      <c r="B232" s="32"/>
      <c r="C232" s="32"/>
      <c r="D232" s="32"/>
      <c r="E232" s="32"/>
      <c r="F232" s="32"/>
      <c r="G232" s="32"/>
      <c r="H232" s="32"/>
      <c r="I232" s="32"/>
      <c r="J232" s="32"/>
      <c r="K232" s="32"/>
      <c r="L232" s="32"/>
      <c r="M232" s="32" t="str">
        <f t="shared" si="4"/>
        <v/>
      </c>
      <c r="N232" s="32"/>
    </row>
    <row r="233" spans="1:14" s="36" customFormat="1" ht="14.1" customHeight="1" x14ac:dyDescent="0.25">
      <c r="A233" s="32" t="str">
        <f>IF(B233&lt;&gt;"",_xlfn.TEXTJOIN("-",1,COUNTIF($B$2:$B233,B233),B233:E233),"")</f>
        <v/>
      </c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 t="str">
        <f t="shared" si="4"/>
        <v/>
      </c>
      <c r="N233" s="32"/>
    </row>
    <row r="234" spans="1:14" s="36" customFormat="1" ht="14.1" customHeight="1" x14ac:dyDescent="0.25">
      <c r="A234" s="32" t="str">
        <f>IF(B234&lt;&gt;"",_xlfn.TEXTJOIN("-",1,COUNTIF($B$2:$B234,B234),B234:E234),"")</f>
        <v/>
      </c>
      <c r="B234" s="32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 t="str">
        <f t="shared" si="4"/>
        <v/>
      </c>
      <c r="N234" s="32"/>
    </row>
    <row r="235" spans="1:14" s="36" customFormat="1" ht="14.1" customHeight="1" x14ac:dyDescent="0.25">
      <c r="A235" s="32" t="str">
        <f>IF(B235&lt;&gt;"",_xlfn.TEXTJOIN("-",1,COUNTIF($B$2:$B235,B235),B235:E235),"")</f>
        <v/>
      </c>
      <c r="B235" s="32"/>
      <c r="C235" s="32"/>
      <c r="D235" s="32"/>
      <c r="E235" s="32"/>
      <c r="F235" s="32"/>
      <c r="G235" s="32"/>
      <c r="H235" s="32"/>
      <c r="I235" s="32"/>
      <c r="J235" s="32"/>
      <c r="K235" s="32"/>
      <c r="L235" s="32"/>
      <c r="M235" s="32" t="str">
        <f t="shared" si="4"/>
        <v/>
      </c>
      <c r="N235" s="32"/>
    </row>
    <row r="236" spans="1:14" s="36" customFormat="1" ht="14.1" customHeight="1" x14ac:dyDescent="0.25">
      <c r="A236" s="32" t="str">
        <f>IF(B236&lt;&gt;"",_xlfn.TEXTJOIN("-",1,COUNTIF($B$2:$B236,B236),B236:E236),"")</f>
        <v/>
      </c>
      <c r="B236" s="32"/>
      <c r="C236" s="32"/>
      <c r="D236" s="32"/>
      <c r="E236" s="32"/>
      <c r="F236" s="32"/>
      <c r="G236" s="32"/>
      <c r="H236" s="32"/>
      <c r="I236" s="32"/>
      <c r="J236" s="32"/>
      <c r="K236" s="32"/>
      <c r="L236" s="32"/>
      <c r="M236" s="32" t="str">
        <f t="shared" si="4"/>
        <v/>
      </c>
      <c r="N236" s="32"/>
    </row>
    <row r="237" spans="1:14" s="36" customFormat="1" ht="14.1" customHeight="1" x14ac:dyDescent="0.25">
      <c r="A237" s="32" t="str">
        <f>IF(B237&lt;&gt;"",_xlfn.TEXTJOIN("-",1,COUNTIF($B$2:$B237,B237),B237:E237),"")</f>
        <v/>
      </c>
      <c r="B237" s="32"/>
      <c r="C237" s="32"/>
      <c r="D237" s="32"/>
      <c r="E237" s="32"/>
      <c r="F237" s="32"/>
      <c r="G237" s="32"/>
      <c r="H237" s="32"/>
      <c r="I237" s="32"/>
      <c r="J237" s="32"/>
      <c r="K237" s="32"/>
      <c r="L237" s="32"/>
      <c r="M237" s="32" t="str">
        <f t="shared" si="4"/>
        <v/>
      </c>
      <c r="N237" s="32"/>
    </row>
    <row r="238" spans="1:14" s="36" customFormat="1" ht="14.1" customHeight="1" x14ac:dyDescent="0.25">
      <c r="A238" s="32" t="str">
        <f>IF(B238&lt;&gt;"",_xlfn.TEXTJOIN("-",1,COUNTIF($B$2:$B238,B238),B238:E238),"")</f>
        <v/>
      </c>
      <c r="B238" s="32"/>
      <c r="C238" s="32"/>
      <c r="D238" s="32"/>
      <c r="E238" s="32"/>
      <c r="F238" s="32"/>
      <c r="G238" s="32"/>
      <c r="H238" s="32"/>
      <c r="I238" s="32"/>
      <c r="J238" s="32"/>
      <c r="K238" s="32"/>
      <c r="L238" s="32"/>
      <c r="M238" s="32" t="str">
        <f t="shared" si="4"/>
        <v/>
      </c>
      <c r="N238" s="32"/>
    </row>
    <row r="239" spans="1:14" s="36" customFormat="1" ht="14.1" customHeight="1" x14ac:dyDescent="0.25">
      <c r="A239" s="32" t="str">
        <f>IF(B239&lt;&gt;"",_xlfn.TEXTJOIN("-",1,COUNTIF($B$2:$B239,B239),B239:E239),"")</f>
        <v/>
      </c>
      <c r="B239" s="32"/>
      <c r="C239" s="32"/>
      <c r="D239" s="32"/>
      <c r="E239" s="32"/>
      <c r="F239" s="32"/>
      <c r="G239" s="32"/>
      <c r="H239" s="32"/>
      <c r="I239" s="32"/>
      <c r="J239" s="32"/>
      <c r="K239" s="32"/>
      <c r="L239" s="32"/>
      <c r="M239" s="32" t="str">
        <f t="shared" si="4"/>
        <v/>
      </c>
      <c r="N239" s="32"/>
    </row>
    <row r="240" spans="1:14" s="36" customFormat="1" ht="14.1" customHeight="1" x14ac:dyDescent="0.25">
      <c r="A240" s="32" t="str">
        <f>IF(B240&lt;&gt;"",_xlfn.TEXTJOIN("-",1,COUNTIF($B$2:$B240,B240),B240:E240),"")</f>
        <v/>
      </c>
      <c r="B240" s="32"/>
      <c r="C240" s="32"/>
      <c r="D240" s="32"/>
      <c r="E240" s="32"/>
      <c r="F240" s="32"/>
      <c r="G240" s="32"/>
      <c r="H240" s="32"/>
      <c r="I240" s="32"/>
      <c r="J240" s="32"/>
      <c r="K240" s="32"/>
      <c r="L240" s="32"/>
      <c r="M240" s="32" t="str">
        <f t="shared" si="4"/>
        <v/>
      </c>
      <c r="N240" s="32"/>
    </row>
    <row r="241" spans="1:14" s="36" customFormat="1" ht="14.1" customHeight="1" x14ac:dyDescent="0.25">
      <c r="A241" s="32" t="str">
        <f>IF(B241&lt;&gt;"",_xlfn.TEXTJOIN("-",1,COUNTIF($B$2:$B241,B241),B241:E241),"")</f>
        <v/>
      </c>
      <c r="B241" s="32"/>
      <c r="C241" s="32"/>
      <c r="D241" s="32"/>
      <c r="E241" s="32"/>
      <c r="F241" s="32"/>
      <c r="G241" s="32"/>
      <c r="H241" s="32"/>
      <c r="I241" s="32"/>
      <c r="J241" s="32"/>
      <c r="K241" s="32"/>
      <c r="L241" s="32"/>
      <c r="M241" s="32" t="str">
        <f t="shared" si="4"/>
        <v/>
      </c>
      <c r="N241" s="32"/>
    </row>
    <row r="242" spans="1:14" s="36" customFormat="1" ht="14.1" customHeight="1" x14ac:dyDescent="0.25">
      <c r="A242" s="32" t="str">
        <f>IF(B242&lt;&gt;"",_xlfn.TEXTJOIN("-",1,COUNTIF($B$2:$B242,B242),B242:E242),"")</f>
        <v/>
      </c>
      <c r="B242" s="32"/>
      <c r="C242" s="32"/>
      <c r="D242" s="32"/>
      <c r="E242" s="32"/>
      <c r="F242" s="32"/>
      <c r="G242" s="32"/>
      <c r="H242" s="32"/>
      <c r="I242" s="32"/>
      <c r="J242" s="32"/>
      <c r="K242" s="32"/>
      <c r="L242" s="32"/>
      <c r="M242" s="32" t="str">
        <f t="shared" si="4"/>
        <v/>
      </c>
      <c r="N242" s="32"/>
    </row>
    <row r="243" spans="1:14" s="36" customFormat="1" ht="14.1" customHeight="1" x14ac:dyDescent="0.25">
      <c r="A243" s="32" t="str">
        <f>IF(B243&lt;&gt;"",_xlfn.TEXTJOIN("-",1,COUNTIF($B$2:$B243,B243),B243:E243),"")</f>
        <v/>
      </c>
      <c r="B243" s="32"/>
      <c r="C243" s="32"/>
      <c r="D243" s="32"/>
      <c r="E243" s="32"/>
      <c r="F243" s="32"/>
      <c r="G243" s="32"/>
      <c r="H243" s="32"/>
      <c r="I243" s="32"/>
      <c r="J243" s="32"/>
      <c r="K243" s="32"/>
      <c r="L243" s="32"/>
      <c r="M243" s="32" t="str">
        <f t="shared" si="4"/>
        <v/>
      </c>
      <c r="N243" s="32"/>
    </row>
    <row r="244" spans="1:14" s="36" customFormat="1" ht="14.1" customHeight="1" x14ac:dyDescent="0.25">
      <c r="A244" s="32" t="str">
        <f>IF(B244&lt;&gt;"",_xlfn.TEXTJOIN("-",1,COUNTIF($B$2:$B244,B244),B244:E244),"")</f>
        <v/>
      </c>
      <c r="B244" s="32"/>
      <c r="C244" s="32"/>
      <c r="D244" s="32"/>
      <c r="E244" s="32"/>
      <c r="F244" s="32"/>
      <c r="G244" s="32"/>
      <c r="H244" s="32"/>
      <c r="I244" s="32"/>
      <c r="J244" s="32"/>
      <c r="K244" s="32"/>
      <c r="L244" s="32"/>
      <c r="M244" s="32" t="str">
        <f t="shared" si="4"/>
        <v/>
      </c>
      <c r="N244" s="32"/>
    </row>
    <row r="245" spans="1:14" s="36" customFormat="1" ht="14.1" customHeight="1" x14ac:dyDescent="0.25">
      <c r="A245" s="32" t="str">
        <f>IF(B245&lt;&gt;"",_xlfn.TEXTJOIN("-",1,COUNTIF($B$2:$B245,B245),B245:E245),"")</f>
        <v/>
      </c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 t="str">
        <f t="shared" si="4"/>
        <v/>
      </c>
      <c r="N245" s="32"/>
    </row>
    <row r="246" spans="1:14" s="36" customFormat="1" ht="14.1" customHeight="1" x14ac:dyDescent="0.25">
      <c r="A246" s="32" t="str">
        <f>IF(B246&lt;&gt;"",_xlfn.TEXTJOIN("-",1,COUNTIF($B$2:$B246,B246),B246:E246),"")</f>
        <v/>
      </c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 t="str">
        <f t="shared" si="4"/>
        <v/>
      </c>
      <c r="N246" s="32"/>
    </row>
    <row r="247" spans="1:14" s="36" customFormat="1" ht="14.1" customHeight="1" x14ac:dyDescent="0.25">
      <c r="A247" s="32" t="str">
        <f>IF(B247&lt;&gt;"",_xlfn.TEXTJOIN("-",1,COUNTIF($B$2:$B247,B247),B247:E247),"")</f>
        <v/>
      </c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 t="str">
        <f t="shared" si="4"/>
        <v/>
      </c>
      <c r="N247" s="32"/>
    </row>
    <row r="248" spans="1:14" s="36" customFormat="1" ht="14.1" customHeight="1" x14ac:dyDescent="0.25">
      <c r="A248" s="32" t="str">
        <f>IF(B248&lt;&gt;"",_xlfn.TEXTJOIN("-",1,COUNTIF($B$2:$B248,B248),B248:E248),"")</f>
        <v/>
      </c>
      <c r="B248" s="32"/>
      <c r="C248" s="32"/>
      <c r="D248" s="32"/>
      <c r="E248" s="32"/>
      <c r="F248" s="32"/>
      <c r="G248" s="32"/>
      <c r="H248" s="32"/>
      <c r="I248" s="32"/>
      <c r="J248" s="32"/>
      <c r="K248" s="32"/>
      <c r="L248" s="32"/>
      <c r="M248" s="32" t="str">
        <f t="shared" si="4"/>
        <v/>
      </c>
      <c r="N248" s="32"/>
    </row>
    <row r="249" spans="1:14" s="36" customFormat="1" ht="14.1" customHeight="1" x14ac:dyDescent="0.25">
      <c r="A249" s="32" t="str">
        <f>IF(B249&lt;&gt;"",_xlfn.TEXTJOIN("-",1,COUNTIF($B$2:$B249,B249),B249:E249),"")</f>
        <v/>
      </c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 t="str">
        <f t="shared" si="4"/>
        <v/>
      </c>
      <c r="N249" s="32"/>
    </row>
    <row r="250" spans="1:14" s="36" customFormat="1" ht="14.1" customHeight="1" x14ac:dyDescent="0.25">
      <c r="A250" s="32" t="str">
        <f>IF(B250&lt;&gt;"",_xlfn.TEXTJOIN("-",1,COUNTIF($B$2:$B250,B250),B250:E250),"")</f>
        <v/>
      </c>
      <c r="B250" s="32"/>
      <c r="C250" s="32"/>
      <c r="D250" s="32"/>
      <c r="E250" s="32"/>
      <c r="F250" s="32"/>
      <c r="G250" s="32"/>
      <c r="H250" s="32"/>
      <c r="I250" s="32"/>
      <c r="J250" s="32"/>
      <c r="K250" s="32"/>
      <c r="L250" s="32"/>
      <c r="M250" s="32" t="str">
        <f t="shared" si="4"/>
        <v/>
      </c>
      <c r="N250" s="32"/>
    </row>
    <row r="251" spans="1:14" s="36" customFormat="1" ht="14.1" customHeight="1" x14ac:dyDescent="0.25">
      <c r="A251" s="32" t="str">
        <f>IF(B251&lt;&gt;"",_xlfn.TEXTJOIN("-",1,COUNTIF($B$2:$B251,B251),B251:E251),"")</f>
        <v/>
      </c>
      <c r="B251" s="32"/>
      <c r="C251" s="32"/>
      <c r="D251" s="32"/>
      <c r="E251" s="32"/>
      <c r="F251" s="32"/>
      <c r="G251" s="32"/>
      <c r="H251" s="32"/>
      <c r="I251" s="32"/>
      <c r="J251" s="32"/>
      <c r="K251" s="32"/>
      <c r="L251" s="32"/>
      <c r="M251" s="32" t="str">
        <f t="shared" si="4"/>
        <v/>
      </c>
      <c r="N251" s="32"/>
    </row>
    <row r="252" spans="1:14" s="36" customFormat="1" ht="14.1" customHeight="1" x14ac:dyDescent="0.25">
      <c r="A252" s="32" t="str">
        <f>IF(B252&lt;&gt;"",_xlfn.TEXTJOIN("-",1,COUNTIF($B$2:$B252,B252),B252:E252),"")</f>
        <v/>
      </c>
      <c r="B252" s="32"/>
      <c r="C252" s="32"/>
      <c r="D252" s="32"/>
      <c r="E252" s="32"/>
      <c r="F252" s="32"/>
      <c r="G252" s="32"/>
      <c r="H252" s="32"/>
      <c r="I252" s="32"/>
      <c r="J252" s="32"/>
      <c r="K252" s="32"/>
      <c r="L252" s="32"/>
      <c r="M252" s="32" t="str">
        <f t="shared" si="4"/>
        <v/>
      </c>
      <c r="N252" s="32"/>
    </row>
    <row r="253" spans="1:14" s="36" customFormat="1" ht="14.1" customHeight="1" x14ac:dyDescent="0.25">
      <c r="A253" s="32" t="str">
        <f>IF(B253&lt;&gt;"",_xlfn.TEXTJOIN("-",1,COUNTIF($B$2:$B253,B253),B253:E253),"")</f>
        <v/>
      </c>
      <c r="B253" s="32"/>
      <c r="C253" s="32"/>
      <c r="D253" s="32"/>
      <c r="E253" s="32"/>
      <c r="F253" s="32"/>
      <c r="G253" s="32"/>
      <c r="H253" s="32"/>
      <c r="I253" s="32"/>
      <c r="J253" s="32"/>
      <c r="K253" s="32"/>
      <c r="L253" s="32"/>
      <c r="M253" s="32" t="str">
        <f t="shared" si="4"/>
        <v/>
      </c>
      <c r="N253" s="32"/>
    </row>
    <row r="254" spans="1:14" s="36" customFormat="1" ht="14.1" customHeight="1" x14ac:dyDescent="0.25">
      <c r="A254" s="32" t="str">
        <f>IF(B254&lt;&gt;"",_xlfn.TEXTJOIN("-",1,COUNTIF($B$2:$B254,B254),B254:E254),"")</f>
        <v/>
      </c>
      <c r="B254" s="32"/>
      <c r="C254" s="32"/>
      <c r="D254" s="32"/>
      <c r="E254" s="32"/>
      <c r="F254" s="32"/>
      <c r="G254" s="32"/>
      <c r="H254" s="32"/>
      <c r="I254" s="32"/>
      <c r="J254" s="32"/>
      <c r="K254" s="32"/>
      <c r="L254" s="32"/>
      <c r="M254" s="32" t="str">
        <f t="shared" si="4"/>
        <v/>
      </c>
      <c r="N254" s="32"/>
    </row>
    <row r="255" spans="1:14" s="36" customFormat="1" ht="14.1" customHeight="1" x14ac:dyDescent="0.25">
      <c r="A255" s="32" t="str">
        <f>IF(B255&lt;&gt;"",_xlfn.TEXTJOIN("-",1,COUNTIF($B$2:$B255,B255),B255:E255),"")</f>
        <v/>
      </c>
      <c r="B255" s="32"/>
      <c r="C255" s="32"/>
      <c r="D255" s="32"/>
      <c r="E255" s="32"/>
      <c r="F255" s="32"/>
      <c r="G255" s="32"/>
      <c r="H255" s="32"/>
      <c r="I255" s="32"/>
      <c r="J255" s="32"/>
      <c r="K255" s="32"/>
      <c r="L255" s="32"/>
      <c r="M255" s="32" t="str">
        <f t="shared" si="4"/>
        <v/>
      </c>
      <c r="N255" s="32"/>
    </row>
    <row r="256" spans="1:14" s="36" customFormat="1" ht="14.1" customHeight="1" x14ac:dyDescent="0.25">
      <c r="A256" s="32" t="str">
        <f>IF(B256&lt;&gt;"",_xlfn.TEXTJOIN("-",1,COUNTIF($B$2:$B256,B256),B256:E256),"")</f>
        <v/>
      </c>
      <c r="B256" s="32"/>
      <c r="C256" s="32"/>
      <c r="D256" s="32"/>
      <c r="E256" s="32"/>
      <c r="F256" s="32"/>
      <c r="G256" s="32"/>
      <c r="H256" s="32"/>
      <c r="I256" s="32"/>
      <c r="J256" s="32"/>
      <c r="K256" s="32"/>
      <c r="L256" s="32"/>
      <c r="M256" s="32" t="str">
        <f t="shared" si="4"/>
        <v/>
      </c>
      <c r="N256" s="32"/>
    </row>
    <row r="257" spans="1:14" s="36" customFormat="1" ht="14.1" customHeight="1" x14ac:dyDescent="0.25">
      <c r="A257" s="32" t="str">
        <f>IF(B257&lt;&gt;"",_xlfn.TEXTJOIN("-",1,COUNTIF($B$2:$B257,B257),B257:E257),"")</f>
        <v/>
      </c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 t="str">
        <f t="shared" si="4"/>
        <v/>
      </c>
      <c r="N257" s="32"/>
    </row>
    <row r="258" spans="1:14" s="36" customFormat="1" ht="14.1" customHeight="1" x14ac:dyDescent="0.25">
      <c r="A258" s="32" t="str">
        <f>IF(B258&lt;&gt;"",_xlfn.TEXTJOIN("-",1,COUNTIF($B$2:$B258,B258),B258:E258),"")</f>
        <v/>
      </c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 t="str">
        <f t="shared" si="4"/>
        <v/>
      </c>
      <c r="N258" s="32"/>
    </row>
    <row r="259" spans="1:14" s="36" customFormat="1" ht="14.1" customHeight="1" x14ac:dyDescent="0.25">
      <c r="A259" s="32" t="str">
        <f>IF(B259&lt;&gt;"",_xlfn.TEXTJOIN("-",1,COUNTIF($B$2:$B259,B259),B259:E259),"")</f>
        <v/>
      </c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 t="str">
        <f t="shared" ref="M259:M322" si="5">IF(B259="FN",_xlfn.CONCAT("egor.v.ivanov+",LEFT(C259,1),"_",LEFT(D259,2),"_",E259,"@outlook.com"),"")</f>
        <v/>
      </c>
      <c r="N259" s="32"/>
    </row>
    <row r="260" spans="1:14" s="36" customFormat="1" ht="14.1" customHeight="1" x14ac:dyDescent="0.25">
      <c r="A260" s="32" t="str">
        <f>IF(B260&lt;&gt;"",_xlfn.TEXTJOIN("-",1,COUNTIF($B$2:$B260,B260),B260:E260),"")</f>
        <v/>
      </c>
      <c r="B260" s="32"/>
      <c r="C260" s="32"/>
      <c r="D260" s="32"/>
      <c r="E260" s="32"/>
      <c r="F260" s="32"/>
      <c r="G260" s="32"/>
      <c r="H260" s="32"/>
      <c r="I260" s="32"/>
      <c r="J260" s="32"/>
      <c r="K260" s="32"/>
      <c r="L260" s="32"/>
      <c r="M260" s="32" t="str">
        <f t="shared" si="5"/>
        <v/>
      </c>
      <c r="N260" s="32"/>
    </row>
    <row r="261" spans="1:14" s="36" customFormat="1" ht="14.1" customHeight="1" x14ac:dyDescent="0.25">
      <c r="A261" s="32" t="str">
        <f>IF(B261&lt;&gt;"",_xlfn.TEXTJOIN("-",1,COUNTIF($B$2:$B261,B261),B261:E261),"")</f>
        <v/>
      </c>
      <c r="B261" s="32"/>
      <c r="C261" s="32"/>
      <c r="D261" s="32"/>
      <c r="E261" s="32"/>
      <c r="F261" s="32"/>
      <c r="G261" s="32"/>
      <c r="H261" s="32"/>
      <c r="I261" s="32"/>
      <c r="J261" s="32"/>
      <c r="K261" s="32"/>
      <c r="L261" s="32"/>
      <c r="M261" s="32" t="str">
        <f t="shared" si="5"/>
        <v/>
      </c>
      <c r="N261" s="32"/>
    </row>
    <row r="262" spans="1:14" s="36" customFormat="1" ht="14.1" customHeight="1" x14ac:dyDescent="0.25">
      <c r="A262" s="32" t="str">
        <f>IF(B262&lt;&gt;"",_xlfn.TEXTJOIN("-",1,COUNTIF($B$2:$B262,B262),B262:E262),"")</f>
        <v/>
      </c>
      <c r="B262" s="32"/>
      <c r="C262" s="32"/>
      <c r="D262" s="32"/>
      <c r="E262" s="32"/>
      <c r="F262" s="32"/>
      <c r="G262" s="32"/>
      <c r="H262" s="32"/>
      <c r="I262" s="32"/>
      <c r="J262" s="32"/>
      <c r="K262" s="32"/>
      <c r="L262" s="32"/>
      <c r="M262" s="32" t="str">
        <f t="shared" si="5"/>
        <v/>
      </c>
      <c r="N262" s="32"/>
    </row>
    <row r="263" spans="1:14" s="36" customFormat="1" ht="14.1" customHeight="1" x14ac:dyDescent="0.25">
      <c r="A263" s="32" t="str">
        <f>IF(B263&lt;&gt;"",_xlfn.TEXTJOIN("-",1,COUNTIF($B$2:$B263,B263),B263:E263),"")</f>
        <v/>
      </c>
      <c r="B263" s="32"/>
      <c r="C263" s="32"/>
      <c r="D263" s="32"/>
      <c r="E263" s="32"/>
      <c r="F263" s="32"/>
      <c r="G263" s="32"/>
      <c r="H263" s="32"/>
      <c r="I263" s="32"/>
      <c r="J263" s="32"/>
      <c r="K263" s="32"/>
      <c r="L263" s="32"/>
      <c r="M263" s="32" t="str">
        <f t="shared" si="5"/>
        <v/>
      </c>
      <c r="N263" s="32"/>
    </row>
    <row r="264" spans="1:14" s="36" customFormat="1" ht="14.1" customHeight="1" x14ac:dyDescent="0.25">
      <c r="A264" s="32" t="str">
        <f>IF(B264&lt;&gt;"",_xlfn.TEXTJOIN("-",1,COUNTIF($B$2:$B264,B264),B264:E264),"")</f>
        <v/>
      </c>
      <c r="B264" s="32"/>
      <c r="C264" s="32"/>
      <c r="D264" s="32"/>
      <c r="E264" s="32"/>
      <c r="F264" s="32"/>
      <c r="G264" s="32"/>
      <c r="H264" s="32"/>
      <c r="I264" s="32"/>
      <c r="J264" s="32"/>
      <c r="K264" s="32"/>
      <c r="L264" s="32"/>
      <c r="M264" s="32" t="str">
        <f t="shared" si="5"/>
        <v/>
      </c>
      <c r="N264" s="32"/>
    </row>
    <row r="265" spans="1:14" s="36" customFormat="1" ht="14.1" customHeight="1" x14ac:dyDescent="0.25">
      <c r="A265" s="32" t="str">
        <f>IF(B265&lt;&gt;"",_xlfn.TEXTJOIN("-",1,COUNTIF($B$2:$B265,B265),B265:E265),"")</f>
        <v/>
      </c>
      <c r="B265" s="32"/>
      <c r="C265" s="32"/>
      <c r="D265" s="32"/>
      <c r="E265" s="32"/>
      <c r="F265" s="32"/>
      <c r="G265" s="32"/>
      <c r="H265" s="32"/>
      <c r="I265" s="32"/>
      <c r="J265" s="32"/>
      <c r="K265" s="32"/>
      <c r="L265" s="32"/>
      <c r="M265" s="32" t="str">
        <f t="shared" si="5"/>
        <v/>
      </c>
      <c r="N265" s="32"/>
    </row>
    <row r="266" spans="1:14" s="36" customFormat="1" ht="14.1" customHeight="1" x14ac:dyDescent="0.25">
      <c r="A266" s="32" t="str">
        <f>IF(B266&lt;&gt;"",_xlfn.TEXTJOIN("-",1,COUNTIF($B$2:$B266,B266),B266:E266),"")</f>
        <v/>
      </c>
      <c r="B266" s="32"/>
      <c r="C266" s="32"/>
      <c r="D266" s="32"/>
      <c r="E266" s="32"/>
      <c r="F266" s="32"/>
      <c r="G266" s="32"/>
      <c r="H266" s="32"/>
      <c r="I266" s="32"/>
      <c r="J266" s="32"/>
      <c r="K266" s="32"/>
      <c r="L266" s="32"/>
      <c r="M266" s="32" t="str">
        <f t="shared" si="5"/>
        <v/>
      </c>
      <c r="N266" s="32"/>
    </row>
    <row r="267" spans="1:14" s="36" customFormat="1" ht="14.1" customHeight="1" x14ac:dyDescent="0.25">
      <c r="A267" s="32" t="str">
        <f>IF(B267&lt;&gt;"",_xlfn.TEXTJOIN("-",1,COUNTIF($B$2:$B267,B267),B267:E267),"")</f>
        <v/>
      </c>
      <c r="B267" s="32"/>
      <c r="C267" s="32"/>
      <c r="D267" s="32"/>
      <c r="E267" s="32"/>
      <c r="F267" s="32"/>
      <c r="G267" s="32"/>
      <c r="H267" s="32"/>
      <c r="I267" s="32"/>
      <c r="J267" s="32"/>
      <c r="K267" s="32"/>
      <c r="L267" s="32"/>
      <c r="M267" s="32" t="str">
        <f t="shared" si="5"/>
        <v/>
      </c>
      <c r="N267" s="32"/>
    </row>
    <row r="268" spans="1:14" s="36" customFormat="1" ht="14.1" customHeight="1" x14ac:dyDescent="0.25">
      <c r="A268" s="32" t="str">
        <f>IF(B268&lt;&gt;"",_xlfn.TEXTJOIN("-",1,COUNTIF($B$2:$B268,B268),B268:E268),"")</f>
        <v/>
      </c>
      <c r="B268" s="32"/>
      <c r="C268" s="32"/>
      <c r="D268" s="32"/>
      <c r="E268" s="32"/>
      <c r="F268" s="32"/>
      <c r="G268" s="32"/>
      <c r="H268" s="32"/>
      <c r="I268" s="32"/>
      <c r="J268" s="32"/>
      <c r="K268" s="32"/>
      <c r="L268" s="32"/>
      <c r="M268" s="32" t="str">
        <f t="shared" si="5"/>
        <v/>
      </c>
      <c r="N268" s="32"/>
    </row>
    <row r="269" spans="1:14" s="36" customFormat="1" ht="14.1" customHeight="1" x14ac:dyDescent="0.25">
      <c r="A269" s="32" t="str">
        <f>IF(B269&lt;&gt;"",_xlfn.TEXTJOIN("-",1,COUNTIF($B$2:$B269,B269),B269:E269),"")</f>
        <v/>
      </c>
      <c r="B269" s="32"/>
      <c r="C269" s="32"/>
      <c r="D269" s="32"/>
      <c r="E269" s="32"/>
      <c r="F269" s="32"/>
      <c r="G269" s="32"/>
      <c r="H269" s="32"/>
      <c r="I269" s="32"/>
      <c r="J269" s="32"/>
      <c r="K269" s="32"/>
      <c r="L269" s="32"/>
      <c r="M269" s="32" t="str">
        <f t="shared" si="5"/>
        <v/>
      </c>
      <c r="N269" s="32"/>
    </row>
    <row r="270" spans="1:14" s="36" customFormat="1" ht="14.1" customHeight="1" x14ac:dyDescent="0.25">
      <c r="A270" s="32" t="str">
        <f>IF(B270&lt;&gt;"",_xlfn.TEXTJOIN("-",1,COUNTIF($B$2:$B270,B270),B270:E270),"")</f>
        <v/>
      </c>
      <c r="B270" s="32"/>
      <c r="C270" s="32"/>
      <c r="D270" s="32"/>
      <c r="E270" s="32"/>
      <c r="F270" s="32"/>
      <c r="G270" s="32"/>
      <c r="H270" s="32"/>
      <c r="I270" s="32"/>
      <c r="J270" s="32"/>
      <c r="K270" s="32"/>
      <c r="L270" s="32"/>
      <c r="M270" s="32" t="str">
        <f t="shared" si="5"/>
        <v/>
      </c>
      <c r="N270" s="32"/>
    </row>
    <row r="271" spans="1:14" s="36" customFormat="1" ht="14.1" customHeight="1" x14ac:dyDescent="0.25">
      <c r="A271" s="32" t="str">
        <f>IF(B271&lt;&gt;"",_xlfn.TEXTJOIN("-",1,COUNTIF($B$2:$B271,B271),B271:E271),"")</f>
        <v/>
      </c>
      <c r="B271" s="32"/>
      <c r="C271" s="32"/>
      <c r="D271" s="32"/>
      <c r="E271" s="32"/>
      <c r="F271" s="32"/>
      <c r="G271" s="32"/>
      <c r="H271" s="32"/>
      <c r="I271" s="32"/>
      <c r="J271" s="32"/>
      <c r="K271" s="32"/>
      <c r="L271" s="32"/>
      <c r="M271" s="32" t="str">
        <f t="shared" si="5"/>
        <v/>
      </c>
      <c r="N271" s="32"/>
    </row>
    <row r="272" spans="1:14" s="36" customFormat="1" ht="14.1" customHeight="1" x14ac:dyDescent="0.25">
      <c r="A272" s="32" t="str">
        <f>IF(B272&lt;&gt;"",_xlfn.TEXTJOIN("-",1,COUNTIF($B$2:$B272,B272),B272:E272),"")</f>
        <v/>
      </c>
      <c r="B272" s="32"/>
      <c r="C272" s="32"/>
      <c r="D272" s="32"/>
      <c r="E272" s="32"/>
      <c r="F272" s="32"/>
      <c r="G272" s="32"/>
      <c r="H272" s="32"/>
      <c r="I272" s="32"/>
      <c r="J272" s="32"/>
      <c r="K272" s="32"/>
      <c r="L272" s="32"/>
      <c r="M272" s="32" t="str">
        <f t="shared" si="5"/>
        <v/>
      </c>
      <c r="N272" s="32"/>
    </row>
    <row r="273" spans="1:14" s="36" customFormat="1" ht="14.1" customHeight="1" x14ac:dyDescent="0.25">
      <c r="A273" s="32" t="str">
        <f>IF(B273&lt;&gt;"",_xlfn.TEXTJOIN("-",1,COUNTIF($B$2:$B273,B273),B273:E273),"")</f>
        <v/>
      </c>
      <c r="B273" s="32"/>
      <c r="C273" s="32"/>
      <c r="D273" s="32"/>
      <c r="E273" s="32"/>
      <c r="F273" s="32"/>
      <c r="G273" s="32"/>
      <c r="H273" s="32"/>
      <c r="I273" s="32"/>
      <c r="J273" s="32"/>
      <c r="K273" s="32"/>
      <c r="L273" s="32"/>
      <c r="M273" s="32" t="str">
        <f t="shared" si="5"/>
        <v/>
      </c>
      <c r="N273" s="32"/>
    </row>
    <row r="274" spans="1:14" s="36" customFormat="1" ht="14.1" customHeight="1" x14ac:dyDescent="0.25">
      <c r="A274" s="32" t="str">
        <f>IF(B274&lt;&gt;"",_xlfn.TEXTJOIN("-",1,COUNTIF($B$2:$B274,B274),B274:E274),"")</f>
        <v/>
      </c>
      <c r="B274" s="32"/>
      <c r="C274" s="32"/>
      <c r="D274" s="32"/>
      <c r="E274" s="32"/>
      <c r="F274" s="32"/>
      <c r="G274" s="32"/>
      <c r="H274" s="32"/>
      <c r="I274" s="32"/>
      <c r="J274" s="32"/>
      <c r="K274" s="32"/>
      <c r="L274" s="32"/>
      <c r="M274" s="32" t="str">
        <f t="shared" si="5"/>
        <v/>
      </c>
      <c r="N274" s="32"/>
    </row>
    <row r="275" spans="1:14" s="36" customFormat="1" ht="14.1" customHeight="1" x14ac:dyDescent="0.25">
      <c r="A275" s="32" t="str">
        <f>IF(B275&lt;&gt;"",_xlfn.TEXTJOIN("-",1,COUNTIF($B$2:$B275,B275),B275:E275),"")</f>
        <v/>
      </c>
      <c r="B275" s="32"/>
      <c r="C275" s="32"/>
      <c r="D275" s="32"/>
      <c r="E275" s="32"/>
      <c r="F275" s="32"/>
      <c r="G275" s="32"/>
      <c r="H275" s="32"/>
      <c r="I275" s="32"/>
      <c r="J275" s="32"/>
      <c r="K275" s="32"/>
      <c r="L275" s="32"/>
      <c r="M275" s="32" t="str">
        <f t="shared" si="5"/>
        <v/>
      </c>
      <c r="N275" s="32"/>
    </row>
    <row r="276" spans="1:14" s="36" customFormat="1" ht="14.1" customHeight="1" x14ac:dyDescent="0.25">
      <c r="A276" s="32" t="str">
        <f>IF(B276&lt;&gt;"",_xlfn.TEXTJOIN("-",1,COUNTIF($B$2:$B276,B276),B276:E276),"")</f>
        <v/>
      </c>
      <c r="B276" s="32"/>
      <c r="C276" s="32"/>
      <c r="D276" s="32"/>
      <c r="E276" s="32"/>
      <c r="F276" s="32"/>
      <c r="G276" s="32"/>
      <c r="H276" s="32"/>
      <c r="I276" s="32"/>
      <c r="J276" s="32"/>
      <c r="K276" s="32"/>
      <c r="L276" s="32"/>
      <c r="M276" s="32" t="str">
        <f t="shared" si="5"/>
        <v/>
      </c>
      <c r="N276" s="32"/>
    </row>
    <row r="277" spans="1:14" s="36" customFormat="1" ht="14.1" customHeight="1" x14ac:dyDescent="0.25">
      <c r="A277" s="32" t="str">
        <f>IF(B277&lt;&gt;"",_xlfn.TEXTJOIN("-",1,COUNTIF($B$2:$B277,B277),B277:E277),"")</f>
        <v/>
      </c>
      <c r="B277" s="32"/>
      <c r="C277" s="32"/>
      <c r="D277" s="32"/>
      <c r="E277" s="32"/>
      <c r="F277" s="32"/>
      <c r="G277" s="32"/>
      <c r="H277" s="32"/>
      <c r="I277" s="32"/>
      <c r="J277" s="32"/>
      <c r="K277" s="32"/>
      <c r="L277" s="32"/>
      <c r="M277" s="32" t="str">
        <f t="shared" si="5"/>
        <v/>
      </c>
      <c r="N277" s="32"/>
    </row>
    <row r="278" spans="1:14" s="36" customFormat="1" ht="14.1" customHeight="1" x14ac:dyDescent="0.25">
      <c r="A278" s="32" t="str">
        <f>IF(B278&lt;&gt;"",_xlfn.TEXTJOIN("-",1,COUNTIF($B$2:$B278,B278),B278:E278),"")</f>
        <v/>
      </c>
      <c r="B278" s="32"/>
      <c r="C278" s="32"/>
      <c r="D278" s="32"/>
      <c r="E278" s="32"/>
      <c r="F278" s="32"/>
      <c r="G278" s="32"/>
      <c r="H278" s="32"/>
      <c r="I278" s="32"/>
      <c r="J278" s="32"/>
      <c r="K278" s="32"/>
      <c r="L278" s="32"/>
      <c r="M278" s="32" t="str">
        <f t="shared" si="5"/>
        <v/>
      </c>
      <c r="N278" s="32"/>
    </row>
    <row r="279" spans="1:14" s="36" customFormat="1" ht="14.1" customHeight="1" x14ac:dyDescent="0.25">
      <c r="A279" s="32" t="str">
        <f>IF(B279&lt;&gt;"",_xlfn.TEXTJOIN("-",1,COUNTIF($B$2:$B279,B279),B279:E279),"")</f>
        <v/>
      </c>
      <c r="B279" s="32"/>
      <c r="C279" s="32"/>
      <c r="D279" s="32"/>
      <c r="E279" s="32"/>
      <c r="F279" s="32"/>
      <c r="G279" s="32"/>
      <c r="H279" s="32"/>
      <c r="I279" s="32"/>
      <c r="J279" s="32"/>
      <c r="K279" s="32"/>
      <c r="L279" s="32"/>
      <c r="M279" s="32" t="str">
        <f t="shared" si="5"/>
        <v/>
      </c>
      <c r="N279" s="32"/>
    </row>
    <row r="280" spans="1:14" s="36" customFormat="1" ht="14.1" customHeight="1" x14ac:dyDescent="0.25">
      <c r="A280" s="32" t="str">
        <f>IF(B280&lt;&gt;"",_xlfn.TEXTJOIN("-",1,COUNTIF($B$2:$B280,B280),B280:E280),"")</f>
        <v/>
      </c>
      <c r="B280" s="32"/>
      <c r="C280" s="32"/>
      <c r="D280" s="32"/>
      <c r="E280" s="32"/>
      <c r="F280" s="32"/>
      <c r="G280" s="32"/>
      <c r="H280" s="32"/>
      <c r="I280" s="32"/>
      <c r="J280" s="32"/>
      <c r="K280" s="32"/>
      <c r="L280" s="32"/>
      <c r="M280" s="32" t="str">
        <f t="shared" si="5"/>
        <v/>
      </c>
      <c r="N280" s="32"/>
    </row>
    <row r="281" spans="1:14" s="36" customFormat="1" ht="14.1" customHeight="1" x14ac:dyDescent="0.25">
      <c r="A281" s="32" t="str">
        <f>IF(B281&lt;&gt;"",_xlfn.TEXTJOIN("-",1,COUNTIF($B$2:$B281,B281),B281:E281),"")</f>
        <v/>
      </c>
      <c r="B281" s="32"/>
      <c r="C281" s="32"/>
      <c r="D281" s="32"/>
      <c r="E281" s="32"/>
      <c r="F281" s="32"/>
      <c r="G281" s="32"/>
      <c r="H281" s="32"/>
      <c r="I281" s="32"/>
      <c r="J281" s="32"/>
      <c r="K281" s="32"/>
      <c r="L281" s="32"/>
      <c r="M281" s="32" t="str">
        <f t="shared" si="5"/>
        <v/>
      </c>
      <c r="N281" s="32"/>
    </row>
    <row r="282" spans="1:14" s="36" customFormat="1" ht="14.1" customHeight="1" x14ac:dyDescent="0.25">
      <c r="A282" s="32" t="str">
        <f>IF(B282&lt;&gt;"",_xlfn.TEXTJOIN("-",1,COUNTIF($B$2:$B282,B282),B282:E282),"")</f>
        <v/>
      </c>
      <c r="B282" s="32"/>
      <c r="C282" s="32"/>
      <c r="D282" s="32"/>
      <c r="E282" s="32"/>
      <c r="F282" s="32"/>
      <c r="G282" s="32"/>
      <c r="H282" s="32"/>
      <c r="I282" s="32"/>
      <c r="J282" s="32"/>
      <c r="K282" s="32"/>
      <c r="L282" s="32"/>
      <c r="M282" s="32" t="str">
        <f t="shared" si="5"/>
        <v/>
      </c>
      <c r="N282" s="32"/>
    </row>
    <row r="283" spans="1:14" s="36" customFormat="1" ht="14.1" customHeight="1" x14ac:dyDescent="0.25">
      <c r="A283" s="32" t="str">
        <f>IF(B283&lt;&gt;"",_xlfn.TEXTJOIN("-",1,COUNTIF($B$2:$B283,B283),B283:E283),"")</f>
        <v/>
      </c>
      <c r="B283" s="32"/>
      <c r="C283" s="32"/>
      <c r="D283" s="32"/>
      <c r="E283" s="32"/>
      <c r="F283" s="32"/>
      <c r="G283" s="32"/>
      <c r="H283" s="32"/>
      <c r="I283" s="32"/>
      <c r="J283" s="32"/>
      <c r="K283" s="32"/>
      <c r="L283" s="32"/>
      <c r="M283" s="32" t="str">
        <f t="shared" si="5"/>
        <v/>
      </c>
      <c r="N283" s="32"/>
    </row>
    <row r="284" spans="1:14" s="36" customFormat="1" ht="14.1" customHeight="1" x14ac:dyDescent="0.25">
      <c r="A284" s="32" t="str">
        <f>IF(B284&lt;&gt;"",_xlfn.TEXTJOIN("-",1,COUNTIF($B$2:$B284,B284),B284:E284),"")</f>
        <v/>
      </c>
      <c r="B284" s="32"/>
      <c r="C284" s="32"/>
      <c r="D284" s="32"/>
      <c r="E284" s="32"/>
      <c r="F284" s="32"/>
      <c r="G284" s="32"/>
      <c r="H284" s="32"/>
      <c r="I284" s="32"/>
      <c r="J284" s="32"/>
      <c r="K284" s="32"/>
      <c r="L284" s="32"/>
      <c r="M284" s="32" t="str">
        <f t="shared" si="5"/>
        <v/>
      </c>
      <c r="N284" s="32"/>
    </row>
    <row r="285" spans="1:14" s="36" customFormat="1" ht="14.1" customHeight="1" x14ac:dyDescent="0.25">
      <c r="A285" s="32" t="str">
        <f>IF(B285&lt;&gt;"",_xlfn.TEXTJOIN("-",1,COUNTIF($B$2:$B285,B285),B285:E285),"")</f>
        <v/>
      </c>
      <c r="B285" s="32"/>
      <c r="C285" s="32"/>
      <c r="D285" s="32"/>
      <c r="E285" s="32"/>
      <c r="F285" s="32"/>
      <c r="G285" s="32"/>
      <c r="H285" s="32"/>
      <c r="I285" s="32"/>
      <c r="J285" s="32"/>
      <c r="K285" s="32"/>
      <c r="L285" s="32"/>
      <c r="M285" s="32" t="str">
        <f t="shared" si="5"/>
        <v/>
      </c>
      <c r="N285" s="32"/>
    </row>
    <row r="286" spans="1:14" s="36" customFormat="1" ht="14.1" customHeight="1" x14ac:dyDescent="0.25">
      <c r="A286" s="32" t="str">
        <f>IF(B286&lt;&gt;"",_xlfn.TEXTJOIN("-",1,COUNTIF($B$2:$B286,B286),B286:E286),"")</f>
        <v/>
      </c>
      <c r="B286" s="32"/>
      <c r="C286" s="32"/>
      <c r="D286" s="32"/>
      <c r="E286" s="32"/>
      <c r="F286" s="32"/>
      <c r="G286" s="32"/>
      <c r="H286" s="32"/>
      <c r="I286" s="32"/>
      <c r="J286" s="32"/>
      <c r="K286" s="32"/>
      <c r="L286" s="32"/>
      <c r="M286" s="32" t="str">
        <f t="shared" si="5"/>
        <v/>
      </c>
      <c r="N286" s="32"/>
    </row>
    <row r="287" spans="1:14" s="36" customFormat="1" ht="14.1" customHeight="1" x14ac:dyDescent="0.25">
      <c r="A287" s="32" t="str">
        <f>IF(B287&lt;&gt;"",_xlfn.TEXTJOIN("-",1,COUNTIF($B$2:$B287,B287),B287:E287),"")</f>
        <v/>
      </c>
      <c r="B287" s="32"/>
      <c r="C287" s="32"/>
      <c r="D287" s="32"/>
      <c r="E287" s="32"/>
      <c r="F287" s="32"/>
      <c r="G287" s="32"/>
      <c r="H287" s="32"/>
      <c r="I287" s="32"/>
      <c r="J287" s="32"/>
      <c r="K287" s="32"/>
      <c r="L287" s="32"/>
      <c r="M287" s="32" t="str">
        <f t="shared" si="5"/>
        <v/>
      </c>
      <c r="N287" s="32"/>
    </row>
    <row r="288" spans="1:14" s="36" customFormat="1" ht="14.1" customHeight="1" x14ac:dyDescent="0.25">
      <c r="A288" s="32" t="str">
        <f>IF(B288&lt;&gt;"",_xlfn.TEXTJOIN("-",1,COUNTIF($B$2:$B288,B288),B288:E288),"")</f>
        <v/>
      </c>
      <c r="B288" s="32"/>
      <c r="C288" s="32"/>
      <c r="D288" s="32"/>
      <c r="E288" s="32"/>
      <c r="F288" s="32"/>
      <c r="G288" s="32"/>
      <c r="H288" s="32"/>
      <c r="I288" s="32"/>
      <c r="J288" s="32"/>
      <c r="K288" s="32"/>
      <c r="L288" s="32"/>
      <c r="M288" s="32" t="str">
        <f t="shared" si="5"/>
        <v/>
      </c>
      <c r="N288" s="32"/>
    </row>
    <row r="289" spans="1:14" s="36" customFormat="1" ht="14.1" customHeight="1" x14ac:dyDescent="0.25">
      <c r="A289" s="32" t="str">
        <f>IF(B289&lt;&gt;"",_xlfn.TEXTJOIN("-",1,COUNTIF($B$2:$B289,B289),B289:E289),"")</f>
        <v/>
      </c>
      <c r="B289" s="32"/>
      <c r="C289" s="32"/>
      <c r="D289" s="32"/>
      <c r="E289" s="32"/>
      <c r="F289" s="32"/>
      <c r="G289" s="32"/>
      <c r="H289" s="32"/>
      <c r="I289" s="32"/>
      <c r="J289" s="32"/>
      <c r="K289" s="32"/>
      <c r="L289" s="32"/>
      <c r="M289" s="32" t="str">
        <f t="shared" si="5"/>
        <v/>
      </c>
      <c r="N289" s="32"/>
    </row>
    <row r="290" spans="1:14" s="36" customFormat="1" ht="14.1" customHeight="1" x14ac:dyDescent="0.25">
      <c r="A290" s="32" t="str">
        <f>IF(B290&lt;&gt;"",_xlfn.TEXTJOIN("-",1,COUNTIF($B$2:$B290,B290),B290:E290),"")</f>
        <v/>
      </c>
      <c r="B290" s="32"/>
      <c r="C290" s="32"/>
      <c r="D290" s="32"/>
      <c r="E290" s="32"/>
      <c r="F290" s="32"/>
      <c r="G290" s="32"/>
      <c r="H290" s="32"/>
      <c r="I290" s="32"/>
      <c r="J290" s="32"/>
      <c r="K290" s="32"/>
      <c r="L290" s="32"/>
      <c r="M290" s="32" t="str">
        <f t="shared" si="5"/>
        <v/>
      </c>
      <c r="N290" s="32"/>
    </row>
    <row r="291" spans="1:14" s="36" customFormat="1" ht="14.1" customHeight="1" x14ac:dyDescent="0.25">
      <c r="A291" s="32" t="str">
        <f>IF(B291&lt;&gt;"",_xlfn.TEXTJOIN("-",1,COUNTIF($B$2:$B291,B291),B291:E291),"")</f>
        <v/>
      </c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/>
      <c r="M291" s="32" t="str">
        <f t="shared" si="5"/>
        <v/>
      </c>
      <c r="N291" s="32"/>
    </row>
    <row r="292" spans="1:14" s="36" customFormat="1" ht="14.1" customHeight="1" x14ac:dyDescent="0.25">
      <c r="A292" s="32" t="str">
        <f>IF(B292&lt;&gt;"",_xlfn.TEXTJOIN("-",1,COUNTIF($B$2:$B292,B292),B292:E292),"")</f>
        <v/>
      </c>
      <c r="B292" s="32"/>
      <c r="C292" s="32"/>
      <c r="D292" s="32"/>
      <c r="E292" s="32"/>
      <c r="F292" s="32"/>
      <c r="G292" s="32"/>
      <c r="H292" s="32"/>
      <c r="I292" s="32"/>
      <c r="J292" s="32"/>
      <c r="K292" s="32"/>
      <c r="L292" s="32"/>
      <c r="M292" s="32" t="str">
        <f t="shared" si="5"/>
        <v/>
      </c>
      <c r="N292" s="32"/>
    </row>
    <row r="293" spans="1:14" s="36" customFormat="1" ht="14.1" customHeight="1" x14ac:dyDescent="0.25">
      <c r="A293" s="32" t="str">
        <f>IF(B293&lt;&gt;"",_xlfn.TEXTJOIN("-",1,COUNTIF($B$2:$B293,B293),B293:E293),"")</f>
        <v/>
      </c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/>
      <c r="M293" s="32" t="str">
        <f t="shared" si="5"/>
        <v/>
      </c>
      <c r="N293" s="32"/>
    </row>
    <row r="294" spans="1:14" s="36" customFormat="1" ht="14.1" customHeight="1" x14ac:dyDescent="0.25">
      <c r="A294" s="32" t="str">
        <f>IF(B294&lt;&gt;"",_xlfn.TEXTJOIN("-",1,COUNTIF($B$2:$B294,B294),B294:E294),"")</f>
        <v/>
      </c>
      <c r="B294" s="32"/>
      <c r="C294" s="32"/>
      <c r="D294" s="32"/>
      <c r="E294" s="32"/>
      <c r="F294" s="32"/>
      <c r="G294" s="32"/>
      <c r="H294" s="32"/>
      <c r="I294" s="32"/>
      <c r="J294" s="32"/>
      <c r="K294" s="32"/>
      <c r="L294" s="32"/>
      <c r="M294" s="32" t="str">
        <f t="shared" si="5"/>
        <v/>
      </c>
      <c r="N294" s="32"/>
    </row>
    <row r="295" spans="1:14" s="36" customFormat="1" ht="14.1" customHeight="1" x14ac:dyDescent="0.25">
      <c r="A295" s="32" t="str">
        <f>IF(B295&lt;&gt;"",_xlfn.TEXTJOIN("-",1,COUNTIF($B$2:$B295,B295),B295:E295),"")</f>
        <v/>
      </c>
      <c r="B295" s="32"/>
      <c r="C295" s="32"/>
      <c r="D295" s="32"/>
      <c r="E295" s="32"/>
      <c r="F295" s="32"/>
      <c r="G295" s="32"/>
      <c r="H295" s="32"/>
      <c r="I295" s="32"/>
      <c r="J295" s="32"/>
      <c r="K295" s="32"/>
      <c r="L295" s="32"/>
      <c r="M295" s="32" t="str">
        <f t="shared" si="5"/>
        <v/>
      </c>
      <c r="N295" s="32"/>
    </row>
    <row r="296" spans="1:14" s="36" customFormat="1" ht="14.1" customHeight="1" x14ac:dyDescent="0.25">
      <c r="A296" s="32" t="str">
        <f>IF(B296&lt;&gt;"",_xlfn.TEXTJOIN("-",1,COUNTIF($B$2:$B296,B296),B296:E296),"")</f>
        <v/>
      </c>
      <c r="B296" s="32"/>
      <c r="C296" s="32"/>
      <c r="D296" s="32"/>
      <c r="E296" s="32"/>
      <c r="F296" s="32"/>
      <c r="G296" s="32"/>
      <c r="H296" s="32"/>
      <c r="I296" s="32"/>
      <c r="J296" s="32"/>
      <c r="K296" s="32"/>
      <c r="L296" s="32"/>
      <c r="M296" s="32" t="str">
        <f t="shared" si="5"/>
        <v/>
      </c>
      <c r="N296" s="32"/>
    </row>
    <row r="297" spans="1:14" s="36" customFormat="1" ht="14.1" customHeight="1" x14ac:dyDescent="0.25">
      <c r="A297" s="32" t="str">
        <f>IF(B297&lt;&gt;"",_xlfn.TEXTJOIN("-",1,COUNTIF($B$2:$B297,B297),B297:E297),"")</f>
        <v/>
      </c>
      <c r="B297" s="32"/>
      <c r="C297" s="32"/>
      <c r="D297" s="32"/>
      <c r="E297" s="32"/>
      <c r="F297" s="32"/>
      <c r="G297" s="32"/>
      <c r="H297" s="32"/>
      <c r="I297" s="32"/>
      <c r="J297" s="32"/>
      <c r="K297" s="32"/>
      <c r="L297" s="32"/>
      <c r="M297" s="32" t="str">
        <f t="shared" si="5"/>
        <v/>
      </c>
      <c r="N297" s="32"/>
    </row>
    <row r="298" spans="1:14" s="36" customFormat="1" ht="14.1" customHeight="1" x14ac:dyDescent="0.25">
      <c r="A298" s="32" t="str">
        <f>IF(B298&lt;&gt;"",_xlfn.TEXTJOIN("-",1,COUNTIF($B$2:$B298,B298),B298:E298),"")</f>
        <v/>
      </c>
      <c r="B298" s="32"/>
      <c r="C298" s="32"/>
      <c r="D298" s="32"/>
      <c r="E298" s="32"/>
      <c r="F298" s="32"/>
      <c r="G298" s="32"/>
      <c r="H298" s="32"/>
      <c r="I298" s="32"/>
      <c r="J298" s="32"/>
      <c r="K298" s="32"/>
      <c r="L298" s="32"/>
      <c r="M298" s="32" t="str">
        <f t="shared" si="5"/>
        <v/>
      </c>
      <c r="N298" s="32"/>
    </row>
    <row r="299" spans="1:14" s="36" customFormat="1" ht="14.1" customHeight="1" x14ac:dyDescent="0.25">
      <c r="A299" s="32" t="str">
        <f>IF(B299&lt;&gt;"",_xlfn.TEXTJOIN("-",1,COUNTIF($B$2:$B299,B299),B299:E299),"")</f>
        <v/>
      </c>
      <c r="B299" s="32"/>
      <c r="C299" s="32"/>
      <c r="D299" s="32"/>
      <c r="E299" s="32"/>
      <c r="F299" s="32"/>
      <c r="G299" s="32"/>
      <c r="H299" s="32"/>
      <c r="I299" s="32"/>
      <c r="J299" s="32"/>
      <c r="K299" s="32"/>
      <c r="L299" s="32"/>
      <c r="M299" s="32" t="str">
        <f t="shared" si="5"/>
        <v/>
      </c>
      <c r="N299" s="32"/>
    </row>
    <row r="300" spans="1:14" s="36" customFormat="1" ht="14.1" customHeight="1" x14ac:dyDescent="0.25">
      <c r="A300" s="32" t="str">
        <f>IF(B300&lt;&gt;"",_xlfn.TEXTJOIN("-",1,COUNTIF($B$2:$B300,B300),B300:E300),"")</f>
        <v/>
      </c>
      <c r="B300" s="32"/>
      <c r="C300" s="32"/>
      <c r="D300" s="32"/>
      <c r="E300" s="32"/>
      <c r="F300" s="32"/>
      <c r="G300" s="32"/>
      <c r="H300" s="32"/>
      <c r="I300" s="32"/>
      <c r="J300" s="32"/>
      <c r="K300" s="32"/>
      <c r="L300" s="32"/>
      <c r="M300" s="32" t="str">
        <f t="shared" si="5"/>
        <v/>
      </c>
      <c r="N300" s="32"/>
    </row>
    <row r="301" spans="1:14" s="36" customFormat="1" ht="14.1" customHeight="1" x14ac:dyDescent="0.25">
      <c r="A301" s="32" t="str">
        <f>IF(B301&lt;&gt;"",_xlfn.TEXTJOIN("-",1,COUNTIF($B$2:$B301,B301),B301:E301),"")</f>
        <v/>
      </c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2"/>
      <c r="M301" s="32" t="str">
        <f t="shared" si="5"/>
        <v/>
      </c>
      <c r="N301" s="32"/>
    </row>
    <row r="302" spans="1:14" s="36" customFormat="1" ht="14.1" customHeight="1" x14ac:dyDescent="0.25">
      <c r="A302" s="32" t="str">
        <f>IF(B302&lt;&gt;"",_xlfn.TEXTJOIN("-",1,COUNTIF($B$2:$B302,B302),B302:E302),"")</f>
        <v/>
      </c>
      <c r="B302" s="32"/>
      <c r="C302" s="32"/>
      <c r="D302" s="32"/>
      <c r="E302" s="32"/>
      <c r="F302" s="32"/>
      <c r="G302" s="32"/>
      <c r="H302" s="32"/>
      <c r="I302" s="32"/>
      <c r="J302" s="32"/>
      <c r="K302" s="32"/>
      <c r="L302" s="32"/>
      <c r="M302" s="32" t="str">
        <f t="shared" si="5"/>
        <v/>
      </c>
      <c r="N302" s="32"/>
    </row>
    <row r="303" spans="1:14" s="36" customFormat="1" ht="14.1" customHeight="1" x14ac:dyDescent="0.25">
      <c r="A303" s="32" t="str">
        <f>IF(B303&lt;&gt;"",_xlfn.TEXTJOIN("-",1,COUNTIF($B$2:$B303,B303),B303:E303),"")</f>
        <v/>
      </c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/>
      <c r="M303" s="32" t="str">
        <f t="shared" si="5"/>
        <v/>
      </c>
      <c r="N303" s="32"/>
    </row>
    <row r="304" spans="1:14" s="36" customFormat="1" ht="14.1" customHeight="1" x14ac:dyDescent="0.25">
      <c r="A304" s="32" t="str">
        <f>IF(B304&lt;&gt;"",_xlfn.TEXTJOIN("-",1,COUNTIF($B$2:$B304,B304),B304:E304),"")</f>
        <v/>
      </c>
      <c r="B304" s="32"/>
      <c r="C304" s="32"/>
      <c r="D304" s="32"/>
      <c r="E304" s="32"/>
      <c r="F304" s="32"/>
      <c r="G304" s="32"/>
      <c r="H304" s="32"/>
      <c r="I304" s="32"/>
      <c r="J304" s="32"/>
      <c r="K304" s="32"/>
      <c r="L304" s="32"/>
      <c r="M304" s="32" t="str">
        <f t="shared" si="5"/>
        <v/>
      </c>
      <c r="N304" s="32"/>
    </row>
    <row r="305" spans="1:14" s="36" customFormat="1" ht="14.1" customHeight="1" x14ac:dyDescent="0.25">
      <c r="A305" s="32" t="str">
        <f>IF(B305&lt;&gt;"",_xlfn.TEXTJOIN("-",1,COUNTIF($B$2:$B305,B305),B305:E305),"")</f>
        <v/>
      </c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/>
      <c r="M305" s="32" t="str">
        <f t="shared" si="5"/>
        <v/>
      </c>
      <c r="N305" s="32"/>
    </row>
    <row r="306" spans="1:14" s="36" customFormat="1" ht="14.1" customHeight="1" x14ac:dyDescent="0.25">
      <c r="A306" s="32" t="str">
        <f>IF(B306&lt;&gt;"",_xlfn.TEXTJOIN("-",1,COUNTIF($B$2:$B306,B306),B306:E306),"")</f>
        <v/>
      </c>
      <c r="B306" s="32"/>
      <c r="C306" s="32"/>
      <c r="D306" s="32"/>
      <c r="E306" s="32"/>
      <c r="F306" s="32"/>
      <c r="G306" s="32"/>
      <c r="H306" s="32"/>
      <c r="I306" s="32"/>
      <c r="J306" s="32"/>
      <c r="K306" s="32"/>
      <c r="L306" s="32"/>
      <c r="M306" s="32" t="str">
        <f t="shared" si="5"/>
        <v/>
      </c>
      <c r="N306" s="32"/>
    </row>
    <row r="307" spans="1:14" s="36" customFormat="1" ht="14.1" customHeight="1" x14ac:dyDescent="0.25">
      <c r="A307" s="32" t="str">
        <f>IF(B307&lt;&gt;"",_xlfn.TEXTJOIN("-",1,COUNTIF($B$2:$B307,B307),B307:E307),"")</f>
        <v/>
      </c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/>
      <c r="M307" s="32" t="str">
        <f t="shared" si="5"/>
        <v/>
      </c>
      <c r="N307" s="32"/>
    </row>
    <row r="308" spans="1:14" s="36" customFormat="1" ht="14.1" customHeight="1" x14ac:dyDescent="0.25">
      <c r="A308" s="32" t="str">
        <f>IF(B308&lt;&gt;"",_xlfn.TEXTJOIN("-",1,COUNTIF($B$2:$B308,B308),B308:E308),"")</f>
        <v/>
      </c>
      <c r="B308" s="32"/>
      <c r="C308" s="32"/>
      <c r="D308" s="32"/>
      <c r="E308" s="32"/>
      <c r="F308" s="32"/>
      <c r="G308" s="32"/>
      <c r="H308" s="32"/>
      <c r="I308" s="32"/>
      <c r="J308" s="32"/>
      <c r="K308" s="32"/>
      <c r="L308" s="32"/>
      <c r="M308" s="32" t="str">
        <f t="shared" si="5"/>
        <v/>
      </c>
      <c r="N308" s="32"/>
    </row>
    <row r="309" spans="1:14" s="36" customFormat="1" ht="14.1" customHeight="1" x14ac:dyDescent="0.25">
      <c r="A309" s="32" t="str">
        <f>IF(B309&lt;&gt;"",_xlfn.TEXTJOIN("-",1,COUNTIF($B$2:$B309,B309),B309:E309),"")</f>
        <v/>
      </c>
      <c r="B309" s="32"/>
      <c r="C309" s="32"/>
      <c r="D309" s="32"/>
      <c r="E309" s="32"/>
      <c r="F309" s="32"/>
      <c r="G309" s="32"/>
      <c r="H309" s="32"/>
      <c r="I309" s="32"/>
      <c r="J309" s="32"/>
      <c r="K309" s="32"/>
      <c r="L309" s="32"/>
      <c r="M309" s="32" t="str">
        <f t="shared" si="5"/>
        <v/>
      </c>
      <c r="N309" s="32"/>
    </row>
    <row r="310" spans="1:14" s="36" customFormat="1" ht="14.1" customHeight="1" x14ac:dyDescent="0.25">
      <c r="A310" s="32" t="str">
        <f>IF(B310&lt;&gt;"",_xlfn.TEXTJOIN("-",1,COUNTIF($B$2:$B310,B310),B310:E310),"")</f>
        <v/>
      </c>
      <c r="B310" s="32"/>
      <c r="C310" s="32"/>
      <c r="D310" s="32"/>
      <c r="E310" s="32"/>
      <c r="F310" s="32"/>
      <c r="G310" s="32"/>
      <c r="H310" s="32"/>
      <c r="I310" s="32"/>
      <c r="J310" s="32"/>
      <c r="K310" s="32"/>
      <c r="L310" s="32"/>
      <c r="M310" s="32" t="str">
        <f t="shared" si="5"/>
        <v/>
      </c>
      <c r="N310" s="32"/>
    </row>
    <row r="311" spans="1:14" s="36" customFormat="1" ht="14.1" customHeight="1" x14ac:dyDescent="0.25">
      <c r="A311" s="32" t="str">
        <f>IF(B311&lt;&gt;"",_xlfn.TEXTJOIN("-",1,COUNTIF($B$2:$B311,B311),B311:E311),"")</f>
        <v/>
      </c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 t="str">
        <f t="shared" si="5"/>
        <v/>
      </c>
      <c r="N311" s="32"/>
    </row>
    <row r="312" spans="1:14" s="36" customFormat="1" ht="14.1" customHeight="1" x14ac:dyDescent="0.25">
      <c r="A312" s="32" t="str">
        <f>IF(B312&lt;&gt;"",_xlfn.TEXTJOIN("-",1,COUNTIF($B$2:$B312,B312),B312:E312),"")</f>
        <v/>
      </c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 t="str">
        <f t="shared" si="5"/>
        <v/>
      </c>
      <c r="N312" s="32"/>
    </row>
    <row r="313" spans="1:14" s="36" customFormat="1" ht="14.1" customHeight="1" x14ac:dyDescent="0.25">
      <c r="A313" s="32" t="str">
        <f>IF(B313&lt;&gt;"",_xlfn.TEXTJOIN("-",1,COUNTIF($B$2:$B313,B313),B313:E313),"")</f>
        <v/>
      </c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 t="str">
        <f t="shared" si="5"/>
        <v/>
      </c>
      <c r="N313" s="32"/>
    </row>
    <row r="314" spans="1:14" s="36" customFormat="1" ht="14.1" customHeight="1" x14ac:dyDescent="0.25">
      <c r="A314" s="32" t="str">
        <f>IF(B314&lt;&gt;"",_xlfn.TEXTJOIN("-",1,COUNTIF($B$2:$B314,B314),B314:E314),"")</f>
        <v/>
      </c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 t="str">
        <f t="shared" si="5"/>
        <v/>
      </c>
      <c r="N314" s="32"/>
    </row>
    <row r="315" spans="1:14" s="36" customFormat="1" ht="14.1" customHeight="1" x14ac:dyDescent="0.25">
      <c r="A315" s="32" t="str">
        <f>IF(B315&lt;&gt;"",_xlfn.TEXTJOIN("-",1,COUNTIF($B$2:$B315,B315),B315:E315),"")</f>
        <v/>
      </c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 t="str">
        <f t="shared" si="5"/>
        <v/>
      </c>
      <c r="N315" s="32"/>
    </row>
    <row r="316" spans="1:14" s="36" customFormat="1" ht="14.1" customHeight="1" x14ac:dyDescent="0.25">
      <c r="A316" s="32" t="str">
        <f>IF(B316&lt;&gt;"",_xlfn.TEXTJOIN("-",1,COUNTIF($B$2:$B316,B316),B316:E316),"")</f>
        <v/>
      </c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 t="str">
        <f t="shared" si="5"/>
        <v/>
      </c>
      <c r="N316" s="32"/>
    </row>
    <row r="317" spans="1:14" s="36" customFormat="1" ht="14.1" customHeight="1" x14ac:dyDescent="0.25">
      <c r="A317" s="32" t="str">
        <f>IF(B317&lt;&gt;"",_xlfn.TEXTJOIN("-",1,COUNTIF($B$2:$B317,B317),B317:E317),"")</f>
        <v/>
      </c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 t="str">
        <f t="shared" si="5"/>
        <v/>
      </c>
      <c r="N317" s="32"/>
    </row>
    <row r="318" spans="1:14" s="36" customFormat="1" ht="14.1" customHeight="1" x14ac:dyDescent="0.25">
      <c r="A318" s="32" t="str">
        <f>IF(B318&lt;&gt;"",_xlfn.TEXTJOIN("-",1,COUNTIF($B$2:$B318,B318),B318:E318),"")</f>
        <v/>
      </c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 t="str">
        <f t="shared" si="5"/>
        <v/>
      </c>
      <c r="N318" s="32"/>
    </row>
    <row r="319" spans="1:14" s="36" customFormat="1" ht="14.1" customHeight="1" x14ac:dyDescent="0.25">
      <c r="A319" s="32" t="str">
        <f>IF(B319&lt;&gt;"",_xlfn.TEXTJOIN("-",1,COUNTIF($B$2:$B319,B319),B319:E319),"")</f>
        <v/>
      </c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 t="str">
        <f t="shared" si="5"/>
        <v/>
      </c>
      <c r="N319" s="32"/>
    </row>
    <row r="320" spans="1:14" s="36" customFormat="1" ht="14.1" customHeight="1" x14ac:dyDescent="0.25">
      <c r="A320" s="32" t="str">
        <f>IF(B320&lt;&gt;"",_xlfn.TEXTJOIN("-",1,COUNTIF($B$2:$B320,B320),B320:E320),"")</f>
        <v/>
      </c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 t="str">
        <f t="shared" si="5"/>
        <v/>
      </c>
      <c r="N320" s="32"/>
    </row>
    <row r="321" spans="1:14" s="36" customFormat="1" ht="14.1" customHeight="1" x14ac:dyDescent="0.25">
      <c r="A321" s="32" t="str">
        <f>IF(B321&lt;&gt;"",_xlfn.TEXTJOIN("-",1,COUNTIF($B$2:$B321,B321),B321:E321),"")</f>
        <v/>
      </c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 t="str">
        <f t="shared" si="5"/>
        <v/>
      </c>
      <c r="N321" s="32"/>
    </row>
    <row r="322" spans="1:14" s="36" customFormat="1" ht="14.1" customHeight="1" x14ac:dyDescent="0.25">
      <c r="A322" s="32" t="str">
        <f>IF(B322&lt;&gt;"",_xlfn.TEXTJOIN("-",1,COUNTIF($B$2:$B322,B322),B322:E322),"")</f>
        <v/>
      </c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 t="str">
        <f t="shared" si="5"/>
        <v/>
      </c>
      <c r="N322" s="32"/>
    </row>
    <row r="323" spans="1:14" s="36" customFormat="1" ht="14.1" customHeight="1" x14ac:dyDescent="0.25">
      <c r="A323" s="32" t="str">
        <f>IF(B323&lt;&gt;"",_xlfn.TEXTJOIN("-",1,COUNTIF($B$2:$B323,B323),B323:E323),"")</f>
        <v/>
      </c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 t="str">
        <f t="shared" ref="M323:M386" si="6">IF(B323="FN",_xlfn.CONCAT("egor.v.ivanov+",LEFT(C323,1),"_",LEFT(D323,2),"_",E323,"@outlook.com"),"")</f>
        <v/>
      </c>
      <c r="N323" s="32"/>
    </row>
    <row r="324" spans="1:14" s="36" customFormat="1" ht="14.1" customHeight="1" x14ac:dyDescent="0.25">
      <c r="A324" s="32" t="str">
        <f>IF(B324&lt;&gt;"",_xlfn.TEXTJOIN("-",1,COUNTIF($B$2:$B324,B324),B324:E324),"")</f>
        <v/>
      </c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 t="str">
        <f t="shared" si="6"/>
        <v/>
      </c>
      <c r="N324" s="32"/>
    </row>
    <row r="325" spans="1:14" s="36" customFormat="1" ht="14.1" customHeight="1" x14ac:dyDescent="0.25">
      <c r="A325" s="32" t="str">
        <f>IF(B325&lt;&gt;"",_xlfn.TEXTJOIN("-",1,COUNTIF($B$2:$B325,B325),B325:E325),"")</f>
        <v/>
      </c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 t="str">
        <f t="shared" si="6"/>
        <v/>
      </c>
      <c r="N325" s="32"/>
    </row>
    <row r="326" spans="1:14" s="36" customFormat="1" ht="14.1" customHeight="1" x14ac:dyDescent="0.25">
      <c r="A326" s="32" t="str">
        <f>IF(B326&lt;&gt;"",_xlfn.TEXTJOIN("-",1,COUNTIF($B$2:$B326,B326),B326:E326),"")</f>
        <v/>
      </c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 t="str">
        <f t="shared" si="6"/>
        <v/>
      </c>
      <c r="N326" s="32"/>
    </row>
    <row r="327" spans="1:14" s="36" customFormat="1" ht="14.1" customHeight="1" x14ac:dyDescent="0.25">
      <c r="A327" s="32" t="str">
        <f>IF(B327&lt;&gt;"",_xlfn.TEXTJOIN("-",1,COUNTIF($B$2:$B327,B327),B327:E327),"")</f>
        <v/>
      </c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 t="str">
        <f t="shared" si="6"/>
        <v/>
      </c>
      <c r="N327" s="32"/>
    </row>
    <row r="328" spans="1:14" s="36" customFormat="1" ht="14.1" customHeight="1" x14ac:dyDescent="0.25">
      <c r="A328" s="32" t="str">
        <f>IF(B328&lt;&gt;"",_xlfn.TEXTJOIN("-",1,COUNTIF($B$2:$B328,B328),B328:E328),"")</f>
        <v/>
      </c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 t="str">
        <f t="shared" si="6"/>
        <v/>
      </c>
      <c r="N328" s="32"/>
    </row>
    <row r="329" spans="1:14" s="36" customFormat="1" ht="14.1" customHeight="1" x14ac:dyDescent="0.25">
      <c r="A329" s="32" t="str">
        <f>IF(B329&lt;&gt;"",_xlfn.TEXTJOIN("-",1,COUNTIF($B$2:$B329,B329),B329:E329),"")</f>
        <v/>
      </c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 t="str">
        <f t="shared" si="6"/>
        <v/>
      </c>
      <c r="N329" s="32"/>
    </row>
    <row r="330" spans="1:14" s="36" customFormat="1" ht="14.1" customHeight="1" x14ac:dyDescent="0.25">
      <c r="A330" s="32" t="str">
        <f>IF(B330&lt;&gt;"",_xlfn.TEXTJOIN("-",1,COUNTIF($B$2:$B330,B330),B330:E330),"")</f>
        <v/>
      </c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 t="str">
        <f t="shared" si="6"/>
        <v/>
      </c>
      <c r="N330" s="32"/>
    </row>
    <row r="331" spans="1:14" s="36" customFormat="1" ht="14.1" customHeight="1" x14ac:dyDescent="0.25">
      <c r="A331" s="32" t="str">
        <f>IF(B331&lt;&gt;"",_xlfn.TEXTJOIN("-",1,COUNTIF($B$2:$B331,B331),B331:E331),"")</f>
        <v/>
      </c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 t="str">
        <f t="shared" si="6"/>
        <v/>
      </c>
      <c r="N331" s="32"/>
    </row>
    <row r="332" spans="1:14" s="36" customFormat="1" ht="14.1" customHeight="1" x14ac:dyDescent="0.25">
      <c r="A332" s="32" t="str">
        <f>IF(B332&lt;&gt;"",_xlfn.TEXTJOIN("-",1,COUNTIF($B$2:$B332,B332),B332:E332),"")</f>
        <v/>
      </c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 t="str">
        <f t="shared" si="6"/>
        <v/>
      </c>
      <c r="N332" s="32"/>
    </row>
    <row r="333" spans="1:14" s="36" customFormat="1" ht="14.1" customHeight="1" x14ac:dyDescent="0.25">
      <c r="A333" s="32" t="str">
        <f>IF(B333&lt;&gt;"",_xlfn.TEXTJOIN("-",1,COUNTIF($B$2:$B333,B333),B333:E333),"")</f>
        <v/>
      </c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 t="str">
        <f t="shared" si="6"/>
        <v/>
      </c>
      <c r="N333" s="32"/>
    </row>
    <row r="334" spans="1:14" s="36" customFormat="1" ht="14.1" customHeight="1" x14ac:dyDescent="0.25">
      <c r="A334" s="32" t="str">
        <f>IF(B334&lt;&gt;"",_xlfn.TEXTJOIN("-",1,COUNTIF($B$2:$B334,B334),B334:E334),"")</f>
        <v/>
      </c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 t="str">
        <f t="shared" si="6"/>
        <v/>
      </c>
      <c r="N334" s="32"/>
    </row>
    <row r="335" spans="1:14" s="36" customFormat="1" ht="14.1" customHeight="1" x14ac:dyDescent="0.25">
      <c r="A335" s="32" t="str">
        <f>IF(B335&lt;&gt;"",_xlfn.TEXTJOIN("-",1,COUNTIF($B$2:$B335,B335),B335:E335),"")</f>
        <v/>
      </c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 t="str">
        <f t="shared" si="6"/>
        <v/>
      </c>
      <c r="N335" s="32"/>
    </row>
    <row r="336" spans="1:14" s="36" customFormat="1" ht="14.1" customHeight="1" x14ac:dyDescent="0.25">
      <c r="A336" s="32" t="str">
        <f>IF(B336&lt;&gt;"",_xlfn.TEXTJOIN("-",1,COUNTIF($B$2:$B336,B336),B336:E336),"")</f>
        <v/>
      </c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 t="str">
        <f t="shared" si="6"/>
        <v/>
      </c>
      <c r="N336" s="32"/>
    </row>
    <row r="337" spans="1:14" s="36" customFormat="1" ht="14.1" customHeight="1" x14ac:dyDescent="0.25">
      <c r="A337" s="32" t="str">
        <f>IF(B337&lt;&gt;"",_xlfn.TEXTJOIN("-",1,COUNTIF($B$2:$B337,B337),B337:E337),"")</f>
        <v/>
      </c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 t="str">
        <f t="shared" si="6"/>
        <v/>
      </c>
      <c r="N337" s="32"/>
    </row>
    <row r="338" spans="1:14" s="36" customFormat="1" ht="14.1" customHeight="1" x14ac:dyDescent="0.25">
      <c r="A338" s="32" t="str">
        <f>IF(B338&lt;&gt;"",_xlfn.TEXTJOIN("-",1,COUNTIF($B$2:$B338,B338),B338:E338),"")</f>
        <v/>
      </c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 t="str">
        <f t="shared" si="6"/>
        <v/>
      </c>
      <c r="N338" s="32"/>
    </row>
    <row r="339" spans="1:14" s="36" customFormat="1" ht="14.1" customHeight="1" x14ac:dyDescent="0.25">
      <c r="A339" s="32" t="str">
        <f>IF(B339&lt;&gt;"",_xlfn.TEXTJOIN("-",1,COUNTIF($B$2:$B339,B339),B339:E339),"")</f>
        <v/>
      </c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 t="str">
        <f t="shared" si="6"/>
        <v/>
      </c>
      <c r="N339" s="32"/>
    </row>
    <row r="340" spans="1:14" s="36" customFormat="1" ht="14.1" customHeight="1" x14ac:dyDescent="0.25">
      <c r="A340" s="32" t="str">
        <f>IF(B340&lt;&gt;"",_xlfn.TEXTJOIN("-",1,COUNTIF($B$2:$B340,B340),B340:E340),"")</f>
        <v/>
      </c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 t="str">
        <f t="shared" si="6"/>
        <v/>
      </c>
      <c r="N340" s="32"/>
    </row>
    <row r="341" spans="1:14" s="36" customFormat="1" ht="14.1" customHeight="1" x14ac:dyDescent="0.25">
      <c r="A341" s="32" t="str">
        <f>IF(B341&lt;&gt;"",_xlfn.TEXTJOIN("-",1,COUNTIF($B$2:$B341,B341),B341:E341),"")</f>
        <v/>
      </c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 t="str">
        <f t="shared" si="6"/>
        <v/>
      </c>
      <c r="N341" s="32"/>
    </row>
    <row r="342" spans="1:14" s="36" customFormat="1" ht="14.1" customHeight="1" x14ac:dyDescent="0.25">
      <c r="A342" s="32" t="str">
        <f>IF(B342&lt;&gt;"",_xlfn.TEXTJOIN("-",1,COUNTIF($B$2:$B342,B342),B342:E342),"")</f>
        <v/>
      </c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 t="str">
        <f t="shared" si="6"/>
        <v/>
      </c>
      <c r="N342" s="32"/>
    </row>
    <row r="343" spans="1:14" s="36" customFormat="1" ht="14.1" customHeight="1" x14ac:dyDescent="0.25">
      <c r="A343" s="32" t="str">
        <f>IF(B343&lt;&gt;"",_xlfn.TEXTJOIN("-",1,COUNTIF($B$2:$B343,B343),B343:E343),"")</f>
        <v/>
      </c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 t="str">
        <f t="shared" si="6"/>
        <v/>
      </c>
      <c r="N343" s="32"/>
    </row>
    <row r="344" spans="1:14" s="36" customFormat="1" ht="14.1" customHeight="1" x14ac:dyDescent="0.25">
      <c r="A344" s="32" t="str">
        <f>IF(B344&lt;&gt;"",_xlfn.TEXTJOIN("-",1,COUNTIF($B$2:$B344,B344),B344:E344),"")</f>
        <v/>
      </c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 t="str">
        <f t="shared" si="6"/>
        <v/>
      </c>
      <c r="N344" s="32"/>
    </row>
    <row r="345" spans="1:14" s="36" customFormat="1" ht="14.1" customHeight="1" x14ac:dyDescent="0.25">
      <c r="A345" s="32" t="str">
        <f>IF(B345&lt;&gt;"",_xlfn.TEXTJOIN("-",1,COUNTIF($B$2:$B345,B345),B345:E345),"")</f>
        <v/>
      </c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 t="str">
        <f t="shared" si="6"/>
        <v/>
      </c>
      <c r="N345" s="32"/>
    </row>
    <row r="346" spans="1:14" s="36" customFormat="1" ht="14.1" customHeight="1" x14ac:dyDescent="0.25">
      <c r="A346" s="32" t="str">
        <f>IF(B346&lt;&gt;"",_xlfn.TEXTJOIN("-",1,COUNTIF($B$2:$B346,B346),B346:E346),"")</f>
        <v/>
      </c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 t="str">
        <f t="shared" si="6"/>
        <v/>
      </c>
      <c r="N346" s="32"/>
    </row>
    <row r="347" spans="1:14" s="36" customFormat="1" ht="14.1" customHeight="1" x14ac:dyDescent="0.25">
      <c r="A347" s="32" t="str">
        <f>IF(B347&lt;&gt;"",_xlfn.TEXTJOIN("-",1,COUNTIF($B$2:$B347,B347),B347:E347),"")</f>
        <v/>
      </c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 t="str">
        <f t="shared" si="6"/>
        <v/>
      </c>
      <c r="N347" s="32"/>
    </row>
    <row r="348" spans="1:14" s="36" customFormat="1" ht="14.1" customHeight="1" x14ac:dyDescent="0.25">
      <c r="A348" s="32" t="str">
        <f>IF(B348&lt;&gt;"",_xlfn.TEXTJOIN("-",1,COUNTIF($B$2:$B348,B348),B348:E348),"")</f>
        <v/>
      </c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 t="str">
        <f t="shared" si="6"/>
        <v/>
      </c>
      <c r="N348" s="32"/>
    </row>
    <row r="349" spans="1:14" s="36" customFormat="1" ht="14.1" customHeight="1" x14ac:dyDescent="0.25">
      <c r="A349" s="32" t="str">
        <f>IF(B349&lt;&gt;"",_xlfn.TEXTJOIN("-",1,COUNTIF($B$2:$B349,B349),B349:E349),"")</f>
        <v/>
      </c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 t="str">
        <f t="shared" si="6"/>
        <v/>
      </c>
      <c r="N349" s="32"/>
    </row>
    <row r="350" spans="1:14" s="36" customFormat="1" ht="14.1" customHeight="1" x14ac:dyDescent="0.25">
      <c r="A350" s="32" t="str">
        <f>IF(B350&lt;&gt;"",_xlfn.TEXTJOIN("-",1,COUNTIF($B$2:$B350,B350),B350:E350),"")</f>
        <v/>
      </c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 t="str">
        <f t="shared" si="6"/>
        <v/>
      </c>
      <c r="N350" s="32"/>
    </row>
    <row r="351" spans="1:14" s="36" customFormat="1" ht="14.1" customHeight="1" x14ac:dyDescent="0.25">
      <c r="A351" s="32" t="str">
        <f>IF(B351&lt;&gt;"",_xlfn.TEXTJOIN("-",1,COUNTIF($B$2:$B351,B351),B351:E351),"")</f>
        <v/>
      </c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 t="str">
        <f t="shared" si="6"/>
        <v/>
      </c>
      <c r="N351" s="32"/>
    </row>
    <row r="352" spans="1:14" s="36" customFormat="1" ht="14.1" customHeight="1" x14ac:dyDescent="0.25">
      <c r="A352" s="32" t="str">
        <f>IF(B352&lt;&gt;"",_xlfn.TEXTJOIN("-",1,COUNTIF($B$2:$B352,B352),B352:E352),"")</f>
        <v/>
      </c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 t="str">
        <f t="shared" si="6"/>
        <v/>
      </c>
      <c r="N352" s="32"/>
    </row>
    <row r="353" spans="1:14" s="36" customFormat="1" ht="14.1" customHeight="1" x14ac:dyDescent="0.25">
      <c r="A353" s="32" t="str">
        <f>IF(B353&lt;&gt;"",_xlfn.TEXTJOIN("-",1,COUNTIF($B$2:$B353,B353),B353:E353),"")</f>
        <v/>
      </c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 t="str">
        <f t="shared" si="6"/>
        <v/>
      </c>
      <c r="N353" s="32"/>
    </row>
    <row r="354" spans="1:14" s="36" customFormat="1" ht="14.1" customHeight="1" x14ac:dyDescent="0.25">
      <c r="A354" s="32" t="str">
        <f>IF(B354&lt;&gt;"",_xlfn.TEXTJOIN("-",1,COUNTIF($B$2:$B354,B354),B354:E354),"")</f>
        <v/>
      </c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 t="str">
        <f t="shared" si="6"/>
        <v/>
      </c>
      <c r="N354" s="32"/>
    </row>
    <row r="355" spans="1:14" s="36" customFormat="1" ht="14.1" customHeight="1" x14ac:dyDescent="0.25">
      <c r="A355" s="32" t="str">
        <f>IF(B355&lt;&gt;"",_xlfn.TEXTJOIN("-",1,COUNTIF($B$2:$B355,B355),B355:E355),"")</f>
        <v/>
      </c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 t="str">
        <f t="shared" si="6"/>
        <v/>
      </c>
      <c r="N355" s="32"/>
    </row>
    <row r="356" spans="1:14" s="36" customFormat="1" ht="14.1" customHeight="1" x14ac:dyDescent="0.25">
      <c r="A356" s="32" t="str">
        <f>IF(B356&lt;&gt;"",_xlfn.TEXTJOIN("-",1,COUNTIF($B$2:$B356,B356),B356:E356),"")</f>
        <v/>
      </c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 t="str">
        <f t="shared" si="6"/>
        <v/>
      </c>
      <c r="N356" s="32"/>
    </row>
    <row r="357" spans="1:14" s="36" customFormat="1" ht="14.1" customHeight="1" x14ac:dyDescent="0.25">
      <c r="A357" s="32" t="str">
        <f>IF(B357&lt;&gt;"",_xlfn.TEXTJOIN("-",1,COUNTIF($B$2:$B357,B357),B357:E357),"")</f>
        <v/>
      </c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 t="str">
        <f t="shared" si="6"/>
        <v/>
      </c>
      <c r="N357" s="32"/>
    </row>
    <row r="358" spans="1:14" s="36" customFormat="1" ht="14.1" customHeight="1" x14ac:dyDescent="0.25">
      <c r="A358" s="32" t="str">
        <f>IF(B358&lt;&gt;"",_xlfn.TEXTJOIN("-",1,COUNTIF($B$2:$B358,B358),B358:E358),"")</f>
        <v/>
      </c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 t="str">
        <f t="shared" si="6"/>
        <v/>
      </c>
      <c r="N358" s="32"/>
    </row>
    <row r="359" spans="1:14" s="36" customFormat="1" ht="14.1" customHeight="1" x14ac:dyDescent="0.25">
      <c r="A359" s="32" t="str">
        <f>IF(B359&lt;&gt;"",_xlfn.TEXTJOIN("-",1,COUNTIF($B$2:$B359,B359),B359:E359),"")</f>
        <v/>
      </c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 t="str">
        <f t="shared" si="6"/>
        <v/>
      </c>
      <c r="N359" s="32"/>
    </row>
    <row r="360" spans="1:14" s="36" customFormat="1" ht="14.1" customHeight="1" x14ac:dyDescent="0.25">
      <c r="A360" s="32" t="str">
        <f>IF(B360&lt;&gt;"",_xlfn.TEXTJOIN("-",1,COUNTIF($B$2:$B360,B360),B360:E360),"")</f>
        <v/>
      </c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 t="str">
        <f t="shared" si="6"/>
        <v/>
      </c>
      <c r="N360" s="32"/>
    </row>
    <row r="361" spans="1:14" s="36" customFormat="1" ht="14.1" customHeight="1" x14ac:dyDescent="0.25">
      <c r="A361" s="32" t="str">
        <f>IF(B361&lt;&gt;"",_xlfn.TEXTJOIN("-",1,COUNTIF($B$2:$B361,B361),B361:E361),"")</f>
        <v/>
      </c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 t="str">
        <f t="shared" si="6"/>
        <v/>
      </c>
      <c r="N361" s="32"/>
    </row>
    <row r="362" spans="1:14" s="36" customFormat="1" ht="14.1" customHeight="1" x14ac:dyDescent="0.25">
      <c r="A362" s="32" t="str">
        <f>IF(B362&lt;&gt;"",_xlfn.TEXTJOIN("-",1,COUNTIF($B$2:$B362,B362),B362:E362),"")</f>
        <v/>
      </c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 t="str">
        <f t="shared" si="6"/>
        <v/>
      </c>
      <c r="N362" s="32"/>
    </row>
    <row r="363" spans="1:14" s="36" customFormat="1" ht="14.1" customHeight="1" x14ac:dyDescent="0.25">
      <c r="A363" s="32" t="str">
        <f>IF(B363&lt;&gt;"",_xlfn.TEXTJOIN("-",1,COUNTIF($B$2:$B363,B363),B363:E363),"")</f>
        <v/>
      </c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 t="str">
        <f t="shared" si="6"/>
        <v/>
      </c>
      <c r="N363" s="32"/>
    </row>
    <row r="364" spans="1:14" s="36" customFormat="1" ht="14.1" customHeight="1" x14ac:dyDescent="0.25">
      <c r="A364" s="32" t="str">
        <f>IF(B364&lt;&gt;"",_xlfn.TEXTJOIN("-",1,COUNTIF($B$2:$B364,B364),B364:E364),"")</f>
        <v/>
      </c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 t="str">
        <f t="shared" si="6"/>
        <v/>
      </c>
      <c r="N364" s="32"/>
    </row>
    <row r="365" spans="1:14" s="36" customFormat="1" ht="14.1" customHeight="1" x14ac:dyDescent="0.25">
      <c r="A365" s="32" t="str">
        <f>IF(B365&lt;&gt;"",_xlfn.TEXTJOIN("-",1,COUNTIF($B$2:$B365,B365),B365:E365),"")</f>
        <v/>
      </c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 t="str">
        <f t="shared" si="6"/>
        <v/>
      </c>
      <c r="N365" s="32"/>
    </row>
    <row r="366" spans="1:14" s="36" customFormat="1" ht="14.1" customHeight="1" x14ac:dyDescent="0.25">
      <c r="A366" s="32" t="str">
        <f>IF(B366&lt;&gt;"",_xlfn.TEXTJOIN("-",1,COUNTIF($B$2:$B366,B366),B366:E366),"")</f>
        <v/>
      </c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 t="str">
        <f t="shared" si="6"/>
        <v/>
      </c>
      <c r="N366" s="32"/>
    </row>
    <row r="367" spans="1:14" s="36" customFormat="1" ht="14.1" customHeight="1" x14ac:dyDescent="0.25">
      <c r="A367" s="32" t="str">
        <f>IF(B367&lt;&gt;"",_xlfn.TEXTJOIN("-",1,COUNTIF($B$2:$B367,B367),B367:E367),"")</f>
        <v/>
      </c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 t="str">
        <f t="shared" si="6"/>
        <v/>
      </c>
      <c r="N367" s="32"/>
    </row>
    <row r="368" spans="1:14" s="36" customFormat="1" ht="14.1" customHeight="1" x14ac:dyDescent="0.25">
      <c r="A368" s="32" t="str">
        <f>IF(B368&lt;&gt;"",_xlfn.TEXTJOIN("-",1,COUNTIF($B$2:$B368,B368),B368:E368),"")</f>
        <v/>
      </c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 t="str">
        <f t="shared" si="6"/>
        <v/>
      </c>
      <c r="N368" s="32"/>
    </row>
    <row r="369" spans="1:14" s="36" customFormat="1" ht="14.1" customHeight="1" x14ac:dyDescent="0.25">
      <c r="A369" s="32" t="str">
        <f>IF(B369&lt;&gt;"",_xlfn.TEXTJOIN("-",1,COUNTIF($B$2:$B369,B369),B369:E369),"")</f>
        <v/>
      </c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 t="str">
        <f t="shared" si="6"/>
        <v/>
      </c>
      <c r="N369" s="32"/>
    </row>
    <row r="370" spans="1:14" s="36" customFormat="1" ht="14.1" customHeight="1" x14ac:dyDescent="0.25">
      <c r="A370" s="32" t="str">
        <f>IF(B370&lt;&gt;"",_xlfn.TEXTJOIN("-",1,COUNTIF($B$2:$B370,B370),B370:E370),"")</f>
        <v/>
      </c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 t="str">
        <f t="shared" si="6"/>
        <v/>
      </c>
      <c r="N370" s="32"/>
    </row>
    <row r="371" spans="1:14" s="36" customFormat="1" ht="14.1" customHeight="1" x14ac:dyDescent="0.25">
      <c r="A371" s="32" t="str">
        <f>IF(B371&lt;&gt;"",_xlfn.TEXTJOIN("-",1,COUNTIF($B$2:$B371,B371),B371:E371),"")</f>
        <v/>
      </c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 t="str">
        <f t="shared" si="6"/>
        <v/>
      </c>
      <c r="N371" s="32"/>
    </row>
    <row r="372" spans="1:14" s="36" customFormat="1" ht="14.1" customHeight="1" x14ac:dyDescent="0.25">
      <c r="A372" s="32" t="str">
        <f>IF(B372&lt;&gt;"",_xlfn.TEXTJOIN("-",1,COUNTIF($B$2:$B372,B372),B372:E372),"")</f>
        <v/>
      </c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 t="str">
        <f t="shared" si="6"/>
        <v/>
      </c>
      <c r="N372" s="32"/>
    </row>
    <row r="373" spans="1:14" s="36" customFormat="1" ht="14.1" customHeight="1" x14ac:dyDescent="0.25">
      <c r="A373" s="32" t="str">
        <f>IF(B373&lt;&gt;"",_xlfn.TEXTJOIN("-",1,COUNTIF($B$2:$B373,B373),B373:E373),"")</f>
        <v/>
      </c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 t="str">
        <f t="shared" si="6"/>
        <v/>
      </c>
      <c r="N373" s="32"/>
    </row>
    <row r="374" spans="1:14" s="36" customFormat="1" ht="14.1" customHeight="1" x14ac:dyDescent="0.25">
      <c r="A374" s="32" t="str">
        <f>IF(B374&lt;&gt;"",_xlfn.TEXTJOIN("-",1,COUNTIF($B$2:$B374,B374),B374:E374),"")</f>
        <v/>
      </c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 t="str">
        <f t="shared" si="6"/>
        <v/>
      </c>
      <c r="N374" s="32"/>
    </row>
    <row r="375" spans="1:14" s="36" customFormat="1" ht="14.1" customHeight="1" x14ac:dyDescent="0.25">
      <c r="A375" s="32" t="str">
        <f>IF(B375&lt;&gt;"",_xlfn.TEXTJOIN("-",1,COUNTIF($B$2:$B375,B375),B375:E375),"")</f>
        <v/>
      </c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 t="str">
        <f t="shared" si="6"/>
        <v/>
      </c>
      <c r="N375" s="32"/>
    </row>
    <row r="376" spans="1:14" s="36" customFormat="1" ht="14.1" customHeight="1" x14ac:dyDescent="0.25">
      <c r="A376" s="32" t="str">
        <f>IF(B376&lt;&gt;"",_xlfn.TEXTJOIN("-",1,COUNTIF($B$2:$B376,B376),B376:E376),"")</f>
        <v/>
      </c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 t="str">
        <f t="shared" si="6"/>
        <v/>
      </c>
      <c r="N376" s="32"/>
    </row>
    <row r="377" spans="1:14" s="36" customFormat="1" ht="14.1" customHeight="1" x14ac:dyDescent="0.25">
      <c r="A377" s="32" t="str">
        <f>IF(B377&lt;&gt;"",_xlfn.TEXTJOIN("-",1,COUNTIF($B$2:$B377,B377),B377:E377),"")</f>
        <v/>
      </c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 t="str">
        <f t="shared" si="6"/>
        <v/>
      </c>
      <c r="N377" s="32"/>
    </row>
    <row r="378" spans="1:14" s="36" customFormat="1" ht="14.1" customHeight="1" x14ac:dyDescent="0.25">
      <c r="A378" s="32" t="str">
        <f>IF(B378&lt;&gt;"",_xlfn.TEXTJOIN("-",1,COUNTIF($B$2:$B378,B378),B378:E378),"")</f>
        <v/>
      </c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 t="str">
        <f t="shared" si="6"/>
        <v/>
      </c>
      <c r="N378" s="32"/>
    </row>
    <row r="379" spans="1:14" s="36" customFormat="1" ht="14.1" customHeight="1" x14ac:dyDescent="0.25">
      <c r="A379" s="32" t="str">
        <f>IF(B379&lt;&gt;"",_xlfn.TEXTJOIN("-",1,COUNTIF($B$2:$B379,B379),B379:E379),"")</f>
        <v/>
      </c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 t="str">
        <f t="shared" si="6"/>
        <v/>
      </c>
      <c r="N379" s="32"/>
    </row>
    <row r="380" spans="1:14" s="36" customFormat="1" ht="14.1" customHeight="1" x14ac:dyDescent="0.25">
      <c r="A380" s="32" t="str">
        <f>IF(B380&lt;&gt;"",_xlfn.TEXTJOIN("-",1,COUNTIF($B$2:$B380,B380),B380:E380),"")</f>
        <v/>
      </c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 t="str">
        <f t="shared" si="6"/>
        <v/>
      </c>
      <c r="N380" s="32"/>
    </row>
    <row r="381" spans="1:14" s="36" customFormat="1" ht="14.1" customHeight="1" x14ac:dyDescent="0.25">
      <c r="A381" s="32" t="str">
        <f>IF(B381&lt;&gt;"",_xlfn.TEXTJOIN("-",1,COUNTIF($B$2:$B381,B381),B381:E381),"")</f>
        <v/>
      </c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 t="str">
        <f t="shared" si="6"/>
        <v/>
      </c>
      <c r="N381" s="32"/>
    </row>
    <row r="382" spans="1:14" s="36" customFormat="1" ht="14.1" customHeight="1" x14ac:dyDescent="0.25">
      <c r="A382" s="32" t="str">
        <f>IF(B382&lt;&gt;"",_xlfn.TEXTJOIN("-",1,COUNTIF($B$2:$B382,B382),B382:E382),"")</f>
        <v/>
      </c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 t="str">
        <f t="shared" si="6"/>
        <v/>
      </c>
      <c r="N382" s="32"/>
    </row>
    <row r="383" spans="1:14" s="36" customFormat="1" ht="14.1" customHeight="1" x14ac:dyDescent="0.25">
      <c r="A383" s="32" t="str">
        <f>IF(B383&lt;&gt;"",_xlfn.TEXTJOIN("-",1,COUNTIF($B$2:$B383,B383),B383:E383),"")</f>
        <v/>
      </c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 t="str">
        <f t="shared" si="6"/>
        <v/>
      </c>
      <c r="N383" s="32"/>
    </row>
    <row r="384" spans="1:14" s="36" customFormat="1" ht="14.1" customHeight="1" x14ac:dyDescent="0.25">
      <c r="A384" s="32" t="str">
        <f>IF(B384&lt;&gt;"",_xlfn.TEXTJOIN("-",1,COUNTIF($B$2:$B384,B384),B384:E384),"")</f>
        <v/>
      </c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 t="str">
        <f t="shared" si="6"/>
        <v/>
      </c>
      <c r="N384" s="32"/>
    </row>
    <row r="385" spans="1:14" s="36" customFormat="1" ht="14.1" customHeight="1" x14ac:dyDescent="0.25">
      <c r="A385" s="32" t="str">
        <f>IF(B385&lt;&gt;"",_xlfn.TEXTJOIN("-",1,COUNTIF($B$2:$B385,B385),B385:E385),"")</f>
        <v/>
      </c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 t="str">
        <f t="shared" si="6"/>
        <v/>
      </c>
      <c r="N385" s="32"/>
    </row>
    <row r="386" spans="1:14" s="36" customFormat="1" ht="14.1" customHeight="1" x14ac:dyDescent="0.25">
      <c r="A386" s="32" t="str">
        <f>IF(B386&lt;&gt;"",_xlfn.TEXTJOIN("-",1,COUNTIF($B$2:$B386,B386),B386:E386),"")</f>
        <v/>
      </c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 t="str">
        <f t="shared" si="6"/>
        <v/>
      </c>
      <c r="N386" s="32"/>
    </row>
    <row r="387" spans="1:14" s="36" customFormat="1" ht="14.1" customHeight="1" x14ac:dyDescent="0.25">
      <c r="A387" s="32" t="str">
        <f>IF(B387&lt;&gt;"",_xlfn.TEXTJOIN("-",1,COUNTIF($B$2:$B387,B387),B387:E387),"")</f>
        <v/>
      </c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 t="str">
        <f t="shared" ref="M387:M450" si="7">IF(B387="FN",_xlfn.CONCAT("egor.v.ivanov+",LEFT(C387,1),"_",LEFT(D387,2),"_",E387,"@outlook.com"),"")</f>
        <v/>
      </c>
      <c r="N387" s="32"/>
    </row>
    <row r="388" spans="1:14" s="36" customFormat="1" ht="14.1" customHeight="1" x14ac:dyDescent="0.25">
      <c r="A388" s="32" t="str">
        <f>IF(B388&lt;&gt;"",_xlfn.TEXTJOIN("-",1,COUNTIF($B$2:$B388,B388),B388:E388),"")</f>
        <v/>
      </c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 t="str">
        <f t="shared" si="7"/>
        <v/>
      </c>
      <c r="N388" s="32"/>
    </row>
    <row r="389" spans="1:14" s="36" customFormat="1" ht="14.1" customHeight="1" x14ac:dyDescent="0.25">
      <c r="A389" s="32" t="str">
        <f>IF(B389&lt;&gt;"",_xlfn.TEXTJOIN("-",1,COUNTIF($B$2:$B389,B389),B389:E389),"")</f>
        <v/>
      </c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 t="str">
        <f t="shared" si="7"/>
        <v/>
      </c>
      <c r="N389" s="32"/>
    </row>
    <row r="390" spans="1:14" s="36" customFormat="1" ht="14.1" customHeight="1" x14ac:dyDescent="0.25">
      <c r="A390" s="32" t="str">
        <f>IF(B390&lt;&gt;"",_xlfn.TEXTJOIN("-",1,COUNTIF($B$2:$B390,B390),B390:E390),"")</f>
        <v/>
      </c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 t="str">
        <f t="shared" si="7"/>
        <v/>
      </c>
      <c r="N390" s="32"/>
    </row>
    <row r="391" spans="1:14" s="36" customFormat="1" ht="14.1" customHeight="1" x14ac:dyDescent="0.25">
      <c r="A391" s="32" t="str">
        <f>IF(B391&lt;&gt;"",_xlfn.TEXTJOIN("-",1,COUNTIF($B$2:$B391,B391),B391:E391),"")</f>
        <v/>
      </c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 t="str">
        <f t="shared" si="7"/>
        <v/>
      </c>
      <c r="N391" s="32"/>
    </row>
    <row r="392" spans="1:14" s="36" customFormat="1" ht="14.1" customHeight="1" x14ac:dyDescent="0.25">
      <c r="A392" s="32" t="str">
        <f>IF(B392&lt;&gt;"",_xlfn.TEXTJOIN("-",1,COUNTIF($B$2:$B392,B392),B392:E392),"")</f>
        <v/>
      </c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 t="str">
        <f t="shared" si="7"/>
        <v/>
      </c>
      <c r="N392" s="32"/>
    </row>
    <row r="393" spans="1:14" s="36" customFormat="1" ht="14.1" customHeight="1" x14ac:dyDescent="0.25">
      <c r="A393" s="32" t="str">
        <f>IF(B393&lt;&gt;"",_xlfn.TEXTJOIN("-",1,COUNTIF($B$2:$B393,B393),B393:E393),"")</f>
        <v/>
      </c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 t="str">
        <f t="shared" si="7"/>
        <v/>
      </c>
      <c r="N393" s="32"/>
    </row>
    <row r="394" spans="1:14" s="36" customFormat="1" ht="14.1" customHeight="1" x14ac:dyDescent="0.25">
      <c r="A394" s="32" t="str">
        <f>IF(B394&lt;&gt;"",_xlfn.TEXTJOIN("-",1,COUNTIF($B$2:$B394,B394),B394:E394),"")</f>
        <v/>
      </c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 t="str">
        <f t="shared" si="7"/>
        <v/>
      </c>
      <c r="N394" s="32"/>
    </row>
    <row r="395" spans="1:14" s="36" customFormat="1" ht="14.1" customHeight="1" x14ac:dyDescent="0.25">
      <c r="A395" s="32" t="str">
        <f>IF(B395&lt;&gt;"",_xlfn.TEXTJOIN("-",1,COUNTIF($B$2:$B395,B395),B395:E395),"")</f>
        <v/>
      </c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 t="str">
        <f t="shared" si="7"/>
        <v/>
      </c>
      <c r="N395" s="32"/>
    </row>
    <row r="396" spans="1:14" s="36" customFormat="1" ht="14.1" customHeight="1" x14ac:dyDescent="0.25">
      <c r="A396" s="32" t="str">
        <f>IF(B396&lt;&gt;"",_xlfn.TEXTJOIN("-",1,COUNTIF($B$2:$B396,B396),B396:E396),"")</f>
        <v/>
      </c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 t="str">
        <f t="shared" si="7"/>
        <v/>
      </c>
      <c r="N396" s="32"/>
    </row>
    <row r="397" spans="1:14" s="36" customFormat="1" ht="14.1" customHeight="1" x14ac:dyDescent="0.25">
      <c r="A397" s="32" t="str">
        <f>IF(B397&lt;&gt;"",_xlfn.TEXTJOIN("-",1,COUNTIF($B$2:$B397,B397),B397:E397),"")</f>
        <v/>
      </c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 t="str">
        <f t="shared" si="7"/>
        <v/>
      </c>
      <c r="N397" s="32"/>
    </row>
    <row r="398" spans="1:14" s="36" customFormat="1" ht="14.1" customHeight="1" x14ac:dyDescent="0.25">
      <c r="A398" s="32" t="str">
        <f>IF(B398&lt;&gt;"",_xlfn.TEXTJOIN("-",1,COUNTIF($B$2:$B398,B398),B398:E398),"")</f>
        <v/>
      </c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 t="str">
        <f t="shared" si="7"/>
        <v/>
      </c>
      <c r="N398" s="32"/>
    </row>
    <row r="399" spans="1:14" s="36" customFormat="1" ht="14.1" customHeight="1" x14ac:dyDescent="0.25">
      <c r="A399" s="32" t="str">
        <f>IF(B399&lt;&gt;"",_xlfn.TEXTJOIN("-",1,COUNTIF($B$2:$B399,B399),B399:E399),"")</f>
        <v/>
      </c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 t="str">
        <f t="shared" si="7"/>
        <v/>
      </c>
      <c r="N399" s="32"/>
    </row>
    <row r="400" spans="1:14" s="36" customFormat="1" ht="14.1" customHeight="1" x14ac:dyDescent="0.25">
      <c r="A400" s="32" t="str">
        <f>IF(B400&lt;&gt;"",_xlfn.TEXTJOIN("-",1,COUNTIF($B$2:$B400,B400),B400:E400),"")</f>
        <v/>
      </c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 t="str">
        <f t="shared" si="7"/>
        <v/>
      </c>
      <c r="N400" s="32"/>
    </row>
    <row r="401" spans="1:14" s="36" customFormat="1" ht="14.1" customHeight="1" x14ac:dyDescent="0.25">
      <c r="A401" s="32" t="str">
        <f>IF(B401&lt;&gt;"",_xlfn.TEXTJOIN("-",1,COUNTIF($B$2:$B401,B401),B401:E401),"")</f>
        <v/>
      </c>
      <c r="B401" s="32"/>
      <c r="C401" s="32"/>
      <c r="D401" s="32"/>
      <c r="E401" s="32"/>
      <c r="F401" s="32"/>
      <c r="G401" s="32"/>
      <c r="H401" s="32"/>
      <c r="I401" s="32"/>
      <c r="J401" s="32"/>
      <c r="K401" s="32"/>
      <c r="L401" s="32"/>
      <c r="M401" s="32" t="str">
        <f t="shared" si="7"/>
        <v/>
      </c>
      <c r="N401" s="32"/>
    </row>
    <row r="402" spans="1:14" s="36" customFormat="1" ht="14.1" customHeight="1" x14ac:dyDescent="0.25">
      <c r="A402" s="32" t="str">
        <f>IF(B402&lt;&gt;"",_xlfn.TEXTJOIN("-",1,COUNTIF($B$2:$B402,B402),B402:E402),"")</f>
        <v/>
      </c>
      <c r="B402" s="32"/>
      <c r="C402" s="32"/>
      <c r="D402" s="32"/>
      <c r="E402" s="32"/>
      <c r="F402" s="32"/>
      <c r="G402" s="32"/>
      <c r="H402" s="32"/>
      <c r="I402" s="32"/>
      <c r="J402" s="32"/>
      <c r="K402" s="32"/>
      <c r="L402" s="32"/>
      <c r="M402" s="32" t="str">
        <f t="shared" si="7"/>
        <v/>
      </c>
      <c r="N402" s="32"/>
    </row>
    <row r="403" spans="1:14" s="36" customFormat="1" ht="14.1" customHeight="1" x14ac:dyDescent="0.25">
      <c r="A403" s="32" t="str">
        <f>IF(B403&lt;&gt;"",_xlfn.TEXTJOIN("-",1,COUNTIF($B$2:$B403,B403),B403:E403),"")</f>
        <v/>
      </c>
      <c r="B403" s="32"/>
      <c r="C403" s="32"/>
      <c r="D403" s="32"/>
      <c r="E403" s="32"/>
      <c r="F403" s="32"/>
      <c r="G403" s="32"/>
      <c r="H403" s="32"/>
      <c r="I403" s="32"/>
      <c r="J403" s="32"/>
      <c r="K403" s="32"/>
      <c r="L403" s="32"/>
      <c r="M403" s="32" t="str">
        <f t="shared" si="7"/>
        <v/>
      </c>
      <c r="N403" s="32"/>
    </row>
    <row r="404" spans="1:14" s="36" customFormat="1" ht="14.1" customHeight="1" x14ac:dyDescent="0.25">
      <c r="A404" s="32" t="str">
        <f>IF(B404&lt;&gt;"",_xlfn.TEXTJOIN("-",1,COUNTIF($B$2:$B404,B404),B404:E404),"")</f>
        <v/>
      </c>
      <c r="B404" s="32"/>
      <c r="C404" s="32"/>
      <c r="D404" s="32"/>
      <c r="E404" s="32"/>
      <c r="F404" s="32"/>
      <c r="G404" s="32"/>
      <c r="H404" s="32"/>
      <c r="I404" s="32"/>
      <c r="J404" s="32"/>
      <c r="K404" s="32"/>
      <c r="L404" s="32"/>
      <c r="M404" s="32" t="str">
        <f t="shared" si="7"/>
        <v/>
      </c>
      <c r="N404" s="32"/>
    </row>
    <row r="405" spans="1:14" s="36" customFormat="1" ht="14.1" customHeight="1" x14ac:dyDescent="0.25">
      <c r="A405" s="32" t="str">
        <f>IF(B405&lt;&gt;"",_xlfn.TEXTJOIN("-",1,COUNTIF($B$2:$B405,B405),B405:E405),"")</f>
        <v/>
      </c>
      <c r="B405" s="32"/>
      <c r="C405" s="32"/>
      <c r="D405" s="32"/>
      <c r="E405" s="32"/>
      <c r="F405" s="32"/>
      <c r="G405" s="32"/>
      <c r="H405" s="32"/>
      <c r="I405" s="32"/>
      <c r="J405" s="32"/>
      <c r="K405" s="32"/>
      <c r="L405" s="32"/>
      <c r="M405" s="32" t="str">
        <f t="shared" si="7"/>
        <v/>
      </c>
      <c r="N405" s="32"/>
    </row>
    <row r="406" spans="1:14" s="36" customFormat="1" ht="14.1" customHeight="1" x14ac:dyDescent="0.25">
      <c r="A406" s="32" t="str">
        <f>IF(B406&lt;&gt;"",_xlfn.TEXTJOIN("-",1,COUNTIF($B$2:$B406,B406),B406:E406),"")</f>
        <v/>
      </c>
      <c r="B406" s="32"/>
      <c r="C406" s="32"/>
      <c r="D406" s="32"/>
      <c r="E406" s="32"/>
      <c r="F406" s="32"/>
      <c r="G406" s="32"/>
      <c r="H406" s="32"/>
      <c r="I406" s="32"/>
      <c r="J406" s="32"/>
      <c r="K406" s="32"/>
      <c r="L406" s="32"/>
      <c r="M406" s="32" t="str">
        <f t="shared" si="7"/>
        <v/>
      </c>
      <c r="N406" s="32"/>
    </row>
    <row r="407" spans="1:14" s="36" customFormat="1" ht="14.1" customHeight="1" x14ac:dyDescent="0.25">
      <c r="A407" s="32" t="str">
        <f>IF(B407&lt;&gt;"",_xlfn.TEXTJOIN("-",1,COUNTIF($B$2:$B407,B407),B407:E407),"")</f>
        <v/>
      </c>
      <c r="B407" s="32"/>
      <c r="C407" s="32"/>
      <c r="D407" s="32"/>
      <c r="E407" s="32"/>
      <c r="F407" s="32"/>
      <c r="G407" s="32"/>
      <c r="H407" s="32"/>
      <c r="I407" s="32"/>
      <c r="J407" s="32"/>
      <c r="K407" s="32"/>
      <c r="L407" s="32"/>
      <c r="M407" s="32" t="str">
        <f t="shared" si="7"/>
        <v/>
      </c>
      <c r="N407" s="32"/>
    </row>
    <row r="408" spans="1:14" s="36" customFormat="1" ht="14.1" customHeight="1" x14ac:dyDescent="0.25">
      <c r="A408" s="32" t="str">
        <f>IF(B408&lt;&gt;"",_xlfn.TEXTJOIN("-",1,COUNTIF($B$2:$B408,B408),B408:E408),"")</f>
        <v/>
      </c>
      <c r="B408" s="32"/>
      <c r="C408" s="32"/>
      <c r="D408" s="32"/>
      <c r="E408" s="32"/>
      <c r="F408" s="32"/>
      <c r="G408" s="32"/>
      <c r="H408" s="32"/>
      <c r="I408" s="32"/>
      <c r="J408" s="32"/>
      <c r="K408" s="32"/>
      <c r="L408" s="32"/>
      <c r="M408" s="32" t="str">
        <f t="shared" si="7"/>
        <v/>
      </c>
      <c r="N408" s="32"/>
    </row>
    <row r="409" spans="1:14" s="36" customFormat="1" ht="14.1" customHeight="1" x14ac:dyDescent="0.25">
      <c r="A409" s="32" t="str">
        <f>IF(B409&lt;&gt;"",_xlfn.TEXTJOIN("-",1,COUNTIF($B$2:$B409,B409),B409:E409),"")</f>
        <v/>
      </c>
      <c r="B409" s="32"/>
      <c r="C409" s="32"/>
      <c r="D409" s="32"/>
      <c r="E409" s="32"/>
      <c r="F409" s="32"/>
      <c r="G409" s="32"/>
      <c r="H409" s="32"/>
      <c r="I409" s="32"/>
      <c r="J409" s="32"/>
      <c r="K409" s="32"/>
      <c r="L409" s="32"/>
      <c r="M409" s="32" t="str">
        <f t="shared" si="7"/>
        <v/>
      </c>
      <c r="N409" s="32"/>
    </row>
    <row r="410" spans="1:14" s="36" customFormat="1" ht="14.1" customHeight="1" x14ac:dyDescent="0.25">
      <c r="A410" s="32" t="str">
        <f>IF(B410&lt;&gt;"",_xlfn.TEXTJOIN("-",1,COUNTIF($B$2:$B410,B410),B410:E410),"")</f>
        <v/>
      </c>
      <c r="B410" s="32"/>
      <c r="C410" s="32"/>
      <c r="D410" s="32"/>
      <c r="E410" s="32"/>
      <c r="F410" s="32"/>
      <c r="G410" s="32"/>
      <c r="H410" s="32"/>
      <c r="I410" s="32"/>
      <c r="J410" s="32"/>
      <c r="K410" s="32"/>
      <c r="L410" s="32"/>
      <c r="M410" s="32" t="str">
        <f t="shared" si="7"/>
        <v/>
      </c>
      <c r="N410" s="32"/>
    </row>
    <row r="411" spans="1:14" s="36" customFormat="1" ht="14.1" customHeight="1" x14ac:dyDescent="0.25">
      <c r="A411" s="32" t="str">
        <f>IF(B411&lt;&gt;"",_xlfn.TEXTJOIN("-",1,COUNTIF($B$2:$B411,B411),B411:E411),"")</f>
        <v/>
      </c>
      <c r="B411" s="32"/>
      <c r="C411" s="32"/>
      <c r="D411" s="32"/>
      <c r="E411" s="32"/>
      <c r="F411" s="32"/>
      <c r="G411" s="32"/>
      <c r="H411" s="32"/>
      <c r="I411" s="32"/>
      <c r="J411" s="32"/>
      <c r="K411" s="32"/>
      <c r="L411" s="32"/>
      <c r="M411" s="32" t="str">
        <f t="shared" si="7"/>
        <v/>
      </c>
      <c r="N411" s="32"/>
    </row>
    <row r="412" spans="1:14" s="36" customFormat="1" ht="14.1" customHeight="1" x14ac:dyDescent="0.25">
      <c r="A412" s="32" t="str">
        <f>IF(B412&lt;&gt;"",_xlfn.TEXTJOIN("-",1,COUNTIF($B$2:$B412,B412),B412:E412),"")</f>
        <v/>
      </c>
      <c r="B412" s="32"/>
      <c r="C412" s="32"/>
      <c r="D412" s="32"/>
      <c r="E412" s="32"/>
      <c r="F412" s="32"/>
      <c r="G412" s="32"/>
      <c r="H412" s="32"/>
      <c r="I412" s="32"/>
      <c r="J412" s="32"/>
      <c r="K412" s="32"/>
      <c r="L412" s="32"/>
      <c r="M412" s="32" t="str">
        <f t="shared" si="7"/>
        <v/>
      </c>
      <c r="N412" s="32"/>
    </row>
    <row r="413" spans="1:14" s="36" customFormat="1" ht="14.1" customHeight="1" x14ac:dyDescent="0.25">
      <c r="A413" s="32" t="str">
        <f>IF(B413&lt;&gt;"",_xlfn.TEXTJOIN("-",1,COUNTIF($B$2:$B413,B413),B413:E413),"")</f>
        <v/>
      </c>
      <c r="B413" s="32"/>
      <c r="C413" s="32"/>
      <c r="D413" s="32"/>
      <c r="E413" s="32"/>
      <c r="F413" s="32"/>
      <c r="G413" s="32"/>
      <c r="H413" s="32"/>
      <c r="I413" s="32"/>
      <c r="J413" s="32"/>
      <c r="K413" s="32"/>
      <c r="L413" s="32"/>
      <c r="M413" s="32" t="str">
        <f t="shared" si="7"/>
        <v/>
      </c>
      <c r="N413" s="32"/>
    </row>
    <row r="414" spans="1:14" s="36" customFormat="1" ht="14.1" customHeight="1" x14ac:dyDescent="0.25">
      <c r="A414" s="32" t="str">
        <f>IF(B414&lt;&gt;"",_xlfn.TEXTJOIN("-",1,COUNTIF($B$2:$B414,B414),B414:E414),"")</f>
        <v/>
      </c>
      <c r="B414" s="32"/>
      <c r="C414" s="32"/>
      <c r="D414" s="32"/>
      <c r="E414" s="32"/>
      <c r="F414" s="32"/>
      <c r="G414" s="32"/>
      <c r="H414" s="32"/>
      <c r="I414" s="32"/>
      <c r="J414" s="32"/>
      <c r="K414" s="32"/>
      <c r="L414" s="32"/>
      <c r="M414" s="32" t="str">
        <f t="shared" si="7"/>
        <v/>
      </c>
      <c r="N414" s="32"/>
    </row>
    <row r="415" spans="1:14" s="36" customFormat="1" ht="14.1" customHeight="1" x14ac:dyDescent="0.25">
      <c r="A415" s="32" t="str">
        <f>IF(B415&lt;&gt;"",_xlfn.TEXTJOIN("-",1,COUNTIF($B$2:$B415,B415),B415:E415),"")</f>
        <v/>
      </c>
      <c r="B415" s="32"/>
      <c r="C415" s="32"/>
      <c r="D415" s="32"/>
      <c r="E415" s="32"/>
      <c r="F415" s="32"/>
      <c r="G415" s="32"/>
      <c r="H415" s="32"/>
      <c r="I415" s="32"/>
      <c r="J415" s="32"/>
      <c r="K415" s="32"/>
      <c r="L415" s="32"/>
      <c r="M415" s="32" t="str">
        <f t="shared" si="7"/>
        <v/>
      </c>
      <c r="N415" s="32"/>
    </row>
    <row r="416" spans="1:14" s="36" customFormat="1" ht="14.1" customHeight="1" x14ac:dyDescent="0.25">
      <c r="A416" s="32" t="str">
        <f>IF(B416&lt;&gt;"",_xlfn.TEXTJOIN("-",1,COUNTIF($B$2:$B416,B416),B416:E416),"")</f>
        <v/>
      </c>
      <c r="B416" s="32"/>
      <c r="C416" s="32"/>
      <c r="D416" s="32"/>
      <c r="E416" s="32"/>
      <c r="F416" s="32"/>
      <c r="G416" s="32"/>
      <c r="H416" s="32"/>
      <c r="I416" s="32"/>
      <c r="J416" s="32"/>
      <c r="K416" s="32"/>
      <c r="L416" s="32"/>
      <c r="M416" s="32" t="str">
        <f t="shared" si="7"/>
        <v/>
      </c>
      <c r="N416" s="32"/>
    </row>
    <row r="417" spans="1:14" s="36" customFormat="1" ht="14.1" customHeight="1" x14ac:dyDescent="0.25">
      <c r="A417" s="32" t="str">
        <f>IF(B417&lt;&gt;"",_xlfn.TEXTJOIN("-",1,COUNTIF($B$2:$B417,B417),B417:E417),"")</f>
        <v/>
      </c>
      <c r="B417" s="32"/>
      <c r="C417" s="32"/>
      <c r="D417" s="32"/>
      <c r="E417" s="32"/>
      <c r="F417" s="32"/>
      <c r="G417" s="32"/>
      <c r="H417" s="32"/>
      <c r="I417" s="32"/>
      <c r="J417" s="32"/>
      <c r="K417" s="32"/>
      <c r="L417" s="32"/>
      <c r="M417" s="32" t="str">
        <f t="shared" si="7"/>
        <v/>
      </c>
      <c r="N417" s="32"/>
    </row>
    <row r="418" spans="1:14" s="36" customFormat="1" ht="14.1" customHeight="1" x14ac:dyDescent="0.25">
      <c r="A418" s="32" t="str">
        <f>IF(B418&lt;&gt;"",_xlfn.TEXTJOIN("-",1,COUNTIF($B$2:$B418,B418),B418:E418),"")</f>
        <v/>
      </c>
      <c r="B418" s="32"/>
      <c r="C418" s="32"/>
      <c r="D418" s="32"/>
      <c r="E418" s="32"/>
      <c r="F418" s="32"/>
      <c r="G418" s="32"/>
      <c r="H418" s="32"/>
      <c r="I418" s="32"/>
      <c r="J418" s="32"/>
      <c r="K418" s="32"/>
      <c r="L418" s="32"/>
      <c r="M418" s="32" t="str">
        <f t="shared" si="7"/>
        <v/>
      </c>
      <c r="N418" s="32"/>
    </row>
    <row r="419" spans="1:14" s="36" customFormat="1" ht="14.1" customHeight="1" x14ac:dyDescent="0.25">
      <c r="A419" s="32" t="str">
        <f>IF(B419&lt;&gt;"",_xlfn.TEXTJOIN("-",1,COUNTIF($B$2:$B419,B419),B419:E419),"")</f>
        <v/>
      </c>
      <c r="B419" s="32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 t="str">
        <f t="shared" si="7"/>
        <v/>
      </c>
      <c r="N419" s="32"/>
    </row>
    <row r="420" spans="1:14" s="36" customFormat="1" ht="14.1" customHeight="1" x14ac:dyDescent="0.25">
      <c r="A420" s="32" t="str">
        <f>IF(B420&lt;&gt;"",_xlfn.TEXTJOIN("-",1,COUNTIF($B$2:$B420,B420),B420:E420),"")</f>
        <v/>
      </c>
      <c r="B420" s="32"/>
      <c r="C420" s="32"/>
      <c r="D420" s="32"/>
      <c r="E420" s="32"/>
      <c r="F420" s="32"/>
      <c r="G420" s="32"/>
      <c r="H420" s="32"/>
      <c r="I420" s="32"/>
      <c r="J420" s="32"/>
      <c r="K420" s="32"/>
      <c r="L420" s="32"/>
      <c r="M420" s="32" t="str">
        <f t="shared" si="7"/>
        <v/>
      </c>
      <c r="N420" s="32"/>
    </row>
    <row r="421" spans="1:14" s="36" customFormat="1" ht="14.1" customHeight="1" x14ac:dyDescent="0.25">
      <c r="A421" s="32" t="str">
        <f>IF(B421&lt;&gt;"",_xlfn.TEXTJOIN("-",1,COUNTIF($B$2:$B421,B421),B421:E421),"")</f>
        <v/>
      </c>
      <c r="B421" s="32"/>
      <c r="C421" s="32"/>
      <c r="D421" s="32"/>
      <c r="E421" s="32"/>
      <c r="F421" s="32"/>
      <c r="G421" s="32"/>
      <c r="H421" s="32"/>
      <c r="I421" s="32"/>
      <c r="J421" s="32"/>
      <c r="K421" s="32"/>
      <c r="L421" s="32"/>
      <c r="M421" s="32" t="str">
        <f t="shared" si="7"/>
        <v/>
      </c>
      <c r="N421" s="32"/>
    </row>
    <row r="422" spans="1:14" s="36" customFormat="1" ht="14.1" customHeight="1" x14ac:dyDescent="0.25">
      <c r="A422" s="32" t="str">
        <f>IF(B422&lt;&gt;"",_xlfn.TEXTJOIN("-",1,COUNTIF($B$2:$B422,B422),B422:E422),"")</f>
        <v/>
      </c>
      <c r="B422" s="32"/>
      <c r="C422" s="32"/>
      <c r="D422" s="32"/>
      <c r="E422" s="32"/>
      <c r="F422" s="32"/>
      <c r="G422" s="32"/>
      <c r="H422" s="32"/>
      <c r="I422" s="32"/>
      <c r="J422" s="32"/>
      <c r="K422" s="32"/>
      <c r="L422" s="32"/>
      <c r="M422" s="32" t="str">
        <f t="shared" si="7"/>
        <v/>
      </c>
      <c r="N422" s="32"/>
    </row>
    <row r="423" spans="1:14" s="36" customFormat="1" ht="14.1" customHeight="1" x14ac:dyDescent="0.25">
      <c r="A423" s="32" t="str">
        <f>IF(B423&lt;&gt;"",_xlfn.TEXTJOIN("-",1,COUNTIF($B$2:$B423,B423),B423:E423),"")</f>
        <v/>
      </c>
      <c r="B423" s="32"/>
      <c r="C423" s="32"/>
      <c r="D423" s="32"/>
      <c r="E423" s="32"/>
      <c r="F423" s="32"/>
      <c r="G423" s="32"/>
      <c r="H423" s="32"/>
      <c r="I423" s="32"/>
      <c r="J423" s="32"/>
      <c r="K423" s="32"/>
      <c r="L423" s="32"/>
      <c r="M423" s="32" t="str">
        <f t="shared" si="7"/>
        <v/>
      </c>
      <c r="N423" s="32"/>
    </row>
    <row r="424" spans="1:14" s="36" customFormat="1" ht="14.1" customHeight="1" x14ac:dyDescent="0.25">
      <c r="A424" s="32" t="str">
        <f>IF(B424&lt;&gt;"",_xlfn.TEXTJOIN("-",1,COUNTIF($B$2:$B424,B424),B424:E424),"")</f>
        <v/>
      </c>
      <c r="B424" s="32"/>
      <c r="C424" s="32"/>
      <c r="D424" s="32"/>
      <c r="E424" s="32"/>
      <c r="F424" s="32"/>
      <c r="G424" s="32"/>
      <c r="H424" s="32"/>
      <c r="I424" s="32"/>
      <c r="J424" s="32"/>
      <c r="K424" s="32"/>
      <c r="L424" s="32"/>
      <c r="M424" s="32" t="str">
        <f t="shared" si="7"/>
        <v/>
      </c>
      <c r="N424" s="32"/>
    </row>
    <row r="425" spans="1:14" s="36" customFormat="1" ht="14.1" customHeight="1" x14ac:dyDescent="0.25">
      <c r="A425" s="32" t="str">
        <f>IF(B425&lt;&gt;"",_xlfn.TEXTJOIN("-",1,COUNTIF($B$2:$B425,B425),B425:E425),"")</f>
        <v/>
      </c>
      <c r="B425" s="32"/>
      <c r="C425" s="32"/>
      <c r="D425" s="32"/>
      <c r="E425" s="32"/>
      <c r="F425" s="32"/>
      <c r="G425" s="32"/>
      <c r="H425" s="32"/>
      <c r="I425" s="32"/>
      <c r="J425" s="32"/>
      <c r="K425" s="32"/>
      <c r="L425" s="32"/>
      <c r="M425" s="32" t="str">
        <f t="shared" si="7"/>
        <v/>
      </c>
      <c r="N425" s="32"/>
    </row>
    <row r="426" spans="1:14" s="36" customFormat="1" ht="14.1" customHeight="1" x14ac:dyDescent="0.25">
      <c r="A426" s="32" t="str">
        <f>IF(B426&lt;&gt;"",_xlfn.TEXTJOIN("-",1,COUNTIF($B$2:$B426,B426),B426:E426),"")</f>
        <v/>
      </c>
      <c r="B426" s="32"/>
      <c r="C426" s="32"/>
      <c r="D426" s="32"/>
      <c r="E426" s="32"/>
      <c r="F426" s="32"/>
      <c r="G426" s="32"/>
      <c r="H426" s="32"/>
      <c r="I426" s="32"/>
      <c r="J426" s="32"/>
      <c r="K426" s="32"/>
      <c r="L426" s="32"/>
      <c r="M426" s="32" t="str">
        <f t="shared" si="7"/>
        <v/>
      </c>
      <c r="N426" s="32"/>
    </row>
    <row r="427" spans="1:14" s="36" customFormat="1" ht="14.1" customHeight="1" x14ac:dyDescent="0.25">
      <c r="A427" s="32" t="str">
        <f>IF(B427&lt;&gt;"",_xlfn.TEXTJOIN("-",1,COUNTIF($B$2:$B427,B427),B427:E427),"")</f>
        <v/>
      </c>
      <c r="B427" s="32"/>
      <c r="C427" s="32"/>
      <c r="D427" s="32"/>
      <c r="E427" s="32"/>
      <c r="F427" s="32"/>
      <c r="G427" s="32"/>
      <c r="H427" s="32"/>
      <c r="I427" s="32"/>
      <c r="J427" s="32"/>
      <c r="K427" s="32"/>
      <c r="L427" s="32"/>
      <c r="M427" s="32" t="str">
        <f t="shared" si="7"/>
        <v/>
      </c>
      <c r="N427" s="32"/>
    </row>
    <row r="428" spans="1:14" s="36" customFormat="1" ht="14.1" customHeight="1" x14ac:dyDescent="0.25">
      <c r="A428" s="32" t="str">
        <f>IF(B428&lt;&gt;"",_xlfn.TEXTJOIN("-",1,COUNTIF($B$2:$B428,B428),B428:E428),"")</f>
        <v/>
      </c>
      <c r="B428" s="32"/>
      <c r="C428" s="32"/>
      <c r="D428" s="32"/>
      <c r="E428" s="32"/>
      <c r="F428" s="32"/>
      <c r="G428" s="32"/>
      <c r="H428" s="32"/>
      <c r="I428" s="32"/>
      <c r="J428" s="32"/>
      <c r="K428" s="32"/>
      <c r="L428" s="32"/>
      <c r="M428" s="32" t="str">
        <f t="shared" si="7"/>
        <v/>
      </c>
      <c r="N428" s="32"/>
    </row>
    <row r="429" spans="1:14" s="36" customFormat="1" ht="14.1" customHeight="1" x14ac:dyDescent="0.25">
      <c r="A429" s="32" t="str">
        <f>IF(B429&lt;&gt;"",_xlfn.TEXTJOIN("-",1,COUNTIF($B$2:$B429,B429),B429:E429),"")</f>
        <v/>
      </c>
      <c r="B429" s="32"/>
      <c r="C429" s="32"/>
      <c r="D429" s="32"/>
      <c r="E429" s="32"/>
      <c r="F429" s="32"/>
      <c r="G429" s="32"/>
      <c r="H429" s="32"/>
      <c r="I429" s="32"/>
      <c r="J429" s="32"/>
      <c r="K429" s="32"/>
      <c r="L429" s="32"/>
      <c r="M429" s="32" t="str">
        <f t="shared" si="7"/>
        <v/>
      </c>
      <c r="N429" s="32"/>
    </row>
    <row r="430" spans="1:14" s="36" customFormat="1" ht="14.1" customHeight="1" x14ac:dyDescent="0.25">
      <c r="A430" s="32" t="str">
        <f>IF(B430&lt;&gt;"",_xlfn.TEXTJOIN("-",1,COUNTIF($B$2:$B430,B430),B430:E430),"")</f>
        <v/>
      </c>
      <c r="B430" s="32"/>
      <c r="C430" s="32"/>
      <c r="D430" s="32"/>
      <c r="E430" s="32"/>
      <c r="F430" s="32"/>
      <c r="G430" s="32"/>
      <c r="H430" s="32"/>
      <c r="I430" s="32"/>
      <c r="J430" s="32"/>
      <c r="K430" s="32"/>
      <c r="L430" s="32"/>
      <c r="M430" s="32" t="str">
        <f t="shared" si="7"/>
        <v/>
      </c>
      <c r="N430" s="32"/>
    </row>
    <row r="431" spans="1:14" s="36" customFormat="1" ht="14.1" customHeight="1" x14ac:dyDescent="0.25">
      <c r="A431" s="32" t="str">
        <f>IF(B431&lt;&gt;"",_xlfn.TEXTJOIN("-",1,COUNTIF($B$2:$B431,B431),B431:E431),"")</f>
        <v/>
      </c>
      <c r="B431" s="32"/>
      <c r="C431" s="32"/>
      <c r="D431" s="32"/>
      <c r="E431" s="32"/>
      <c r="F431" s="32"/>
      <c r="G431" s="32"/>
      <c r="H431" s="32"/>
      <c r="I431" s="32"/>
      <c r="J431" s="32"/>
      <c r="K431" s="32"/>
      <c r="L431" s="32"/>
      <c r="M431" s="32" t="str">
        <f t="shared" si="7"/>
        <v/>
      </c>
      <c r="N431" s="32"/>
    </row>
    <row r="432" spans="1:14" s="36" customFormat="1" ht="14.1" customHeight="1" x14ac:dyDescent="0.25">
      <c r="A432" s="32" t="str">
        <f>IF(B432&lt;&gt;"",_xlfn.TEXTJOIN("-",1,COUNTIF($B$2:$B432,B432),B432:E432),"")</f>
        <v/>
      </c>
      <c r="B432" s="32"/>
      <c r="C432" s="32"/>
      <c r="D432" s="32"/>
      <c r="E432" s="32"/>
      <c r="F432" s="32"/>
      <c r="G432" s="32"/>
      <c r="H432" s="32"/>
      <c r="I432" s="32"/>
      <c r="J432" s="32"/>
      <c r="K432" s="32"/>
      <c r="L432" s="32"/>
      <c r="M432" s="32" t="str">
        <f t="shared" si="7"/>
        <v/>
      </c>
      <c r="N432" s="32"/>
    </row>
    <row r="433" spans="1:14" s="36" customFormat="1" ht="14.1" customHeight="1" x14ac:dyDescent="0.25">
      <c r="A433" s="32" t="str">
        <f>IF(B433&lt;&gt;"",_xlfn.TEXTJOIN("-",1,COUNTIF($B$2:$B433,B433),B433:E433),"")</f>
        <v/>
      </c>
      <c r="B433" s="32"/>
      <c r="C433" s="32"/>
      <c r="D433" s="32"/>
      <c r="E433" s="32"/>
      <c r="F433" s="32"/>
      <c r="G433" s="32"/>
      <c r="H433" s="32"/>
      <c r="I433" s="32"/>
      <c r="J433" s="32"/>
      <c r="K433" s="32"/>
      <c r="L433" s="32"/>
      <c r="M433" s="32" t="str">
        <f t="shared" si="7"/>
        <v/>
      </c>
      <c r="N433" s="32"/>
    </row>
    <row r="434" spans="1:14" s="36" customFormat="1" ht="14.1" customHeight="1" x14ac:dyDescent="0.25">
      <c r="A434" s="32" t="str">
        <f>IF(B434&lt;&gt;"",_xlfn.TEXTJOIN("-",1,COUNTIF($B$2:$B434,B434),B434:E434),"")</f>
        <v/>
      </c>
      <c r="B434" s="32"/>
      <c r="C434" s="32"/>
      <c r="D434" s="32"/>
      <c r="E434" s="32"/>
      <c r="F434" s="32"/>
      <c r="G434" s="32"/>
      <c r="H434" s="32"/>
      <c r="I434" s="32"/>
      <c r="J434" s="32"/>
      <c r="K434" s="32"/>
      <c r="L434" s="32"/>
      <c r="M434" s="32" t="str">
        <f t="shared" si="7"/>
        <v/>
      </c>
      <c r="N434" s="32"/>
    </row>
    <row r="435" spans="1:14" s="36" customFormat="1" ht="14.1" customHeight="1" x14ac:dyDescent="0.25">
      <c r="A435" s="32" t="str">
        <f>IF(B435&lt;&gt;"",_xlfn.TEXTJOIN("-",1,COUNTIF($B$2:$B435,B435),B435:E435),"")</f>
        <v/>
      </c>
      <c r="B435" s="32"/>
      <c r="C435" s="32"/>
      <c r="D435" s="32"/>
      <c r="E435" s="32"/>
      <c r="F435" s="32"/>
      <c r="G435" s="32"/>
      <c r="H435" s="32"/>
      <c r="I435" s="32"/>
      <c r="J435" s="32"/>
      <c r="K435" s="32"/>
      <c r="L435" s="32"/>
      <c r="M435" s="32" t="str">
        <f t="shared" si="7"/>
        <v/>
      </c>
      <c r="N435" s="32"/>
    </row>
    <row r="436" spans="1:14" s="36" customFormat="1" ht="14.1" customHeight="1" x14ac:dyDescent="0.25">
      <c r="A436" s="32" t="str">
        <f>IF(B436&lt;&gt;"",_xlfn.TEXTJOIN("-",1,COUNTIF($B$2:$B436,B436),B436:E436),"")</f>
        <v/>
      </c>
      <c r="B436" s="32"/>
      <c r="C436" s="32"/>
      <c r="D436" s="32"/>
      <c r="E436" s="32"/>
      <c r="F436" s="32"/>
      <c r="G436" s="32"/>
      <c r="H436" s="32"/>
      <c r="I436" s="32"/>
      <c r="J436" s="32"/>
      <c r="K436" s="32"/>
      <c r="L436" s="32"/>
      <c r="M436" s="32" t="str">
        <f t="shared" si="7"/>
        <v/>
      </c>
      <c r="N436" s="32"/>
    </row>
    <row r="437" spans="1:14" s="36" customFormat="1" ht="14.1" customHeight="1" x14ac:dyDescent="0.25">
      <c r="A437" s="32" t="str">
        <f>IF(B437&lt;&gt;"",_xlfn.TEXTJOIN("-",1,COUNTIF($B$2:$B437,B437),B437:E437),"")</f>
        <v/>
      </c>
      <c r="B437" s="32"/>
      <c r="C437" s="32"/>
      <c r="D437" s="32"/>
      <c r="E437" s="32"/>
      <c r="F437" s="32"/>
      <c r="G437" s="32"/>
      <c r="H437" s="32"/>
      <c r="I437" s="32"/>
      <c r="J437" s="32"/>
      <c r="K437" s="32"/>
      <c r="L437" s="32"/>
      <c r="M437" s="32" t="str">
        <f t="shared" si="7"/>
        <v/>
      </c>
      <c r="N437" s="32"/>
    </row>
    <row r="438" spans="1:14" s="36" customFormat="1" ht="14.1" customHeight="1" x14ac:dyDescent="0.25">
      <c r="A438" s="32" t="str">
        <f>IF(B438&lt;&gt;"",_xlfn.TEXTJOIN("-",1,COUNTIF($B$2:$B438,B438),B438:E438),"")</f>
        <v/>
      </c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 t="str">
        <f t="shared" si="7"/>
        <v/>
      </c>
      <c r="N438" s="32"/>
    </row>
    <row r="439" spans="1:14" s="36" customFormat="1" ht="14.1" customHeight="1" x14ac:dyDescent="0.25">
      <c r="A439" s="32" t="str">
        <f>IF(B439&lt;&gt;"",_xlfn.TEXTJOIN("-",1,COUNTIF($B$2:$B439,B439),B439:E439),"")</f>
        <v/>
      </c>
      <c r="B439" s="32"/>
      <c r="C439" s="32"/>
      <c r="D439" s="32"/>
      <c r="E439" s="32"/>
      <c r="F439" s="32"/>
      <c r="G439" s="32"/>
      <c r="H439" s="32"/>
      <c r="I439" s="32"/>
      <c r="J439" s="32"/>
      <c r="K439" s="32"/>
      <c r="L439" s="32"/>
      <c r="M439" s="32" t="str">
        <f t="shared" si="7"/>
        <v/>
      </c>
      <c r="N439" s="32"/>
    </row>
    <row r="440" spans="1:14" s="36" customFormat="1" ht="14.1" customHeight="1" x14ac:dyDescent="0.25">
      <c r="A440" s="32" t="str">
        <f>IF(B440&lt;&gt;"",_xlfn.TEXTJOIN("-",1,COUNTIF($B$2:$B440,B440),B440:E440),"")</f>
        <v/>
      </c>
      <c r="B440" s="32"/>
      <c r="C440" s="32"/>
      <c r="D440" s="32"/>
      <c r="E440" s="32"/>
      <c r="F440" s="32"/>
      <c r="G440" s="32"/>
      <c r="H440" s="32"/>
      <c r="I440" s="32"/>
      <c r="J440" s="32"/>
      <c r="K440" s="32"/>
      <c r="L440" s="32"/>
      <c r="M440" s="32" t="str">
        <f t="shared" si="7"/>
        <v/>
      </c>
      <c r="N440" s="32"/>
    </row>
    <row r="441" spans="1:14" s="36" customFormat="1" ht="14.1" customHeight="1" x14ac:dyDescent="0.25">
      <c r="A441" s="32" t="str">
        <f>IF(B441&lt;&gt;"",_xlfn.TEXTJOIN("-",1,COUNTIF($B$2:$B441,B441),B441:E441),"")</f>
        <v/>
      </c>
      <c r="B441" s="32"/>
      <c r="C441" s="32"/>
      <c r="D441" s="32"/>
      <c r="E441" s="32"/>
      <c r="F441" s="32"/>
      <c r="G441" s="32"/>
      <c r="H441" s="32"/>
      <c r="I441" s="32"/>
      <c r="J441" s="32"/>
      <c r="K441" s="32"/>
      <c r="L441" s="32"/>
      <c r="M441" s="32" t="str">
        <f t="shared" si="7"/>
        <v/>
      </c>
      <c r="N441" s="32"/>
    </row>
    <row r="442" spans="1:14" s="36" customFormat="1" ht="14.1" customHeight="1" x14ac:dyDescent="0.25">
      <c r="A442" s="32" t="str">
        <f>IF(B442&lt;&gt;"",_xlfn.TEXTJOIN("-",1,COUNTIF($B$2:$B442,B442),B442:E442),"")</f>
        <v/>
      </c>
      <c r="B442" s="32"/>
      <c r="C442" s="32"/>
      <c r="D442" s="32"/>
      <c r="E442" s="32"/>
      <c r="F442" s="32"/>
      <c r="G442" s="32"/>
      <c r="H442" s="32"/>
      <c r="I442" s="32"/>
      <c r="J442" s="32"/>
      <c r="K442" s="32"/>
      <c r="L442" s="32"/>
      <c r="M442" s="32" t="str">
        <f t="shared" si="7"/>
        <v/>
      </c>
      <c r="N442" s="32"/>
    </row>
    <row r="443" spans="1:14" s="36" customFormat="1" ht="14.1" customHeight="1" x14ac:dyDescent="0.25">
      <c r="A443" s="32" t="str">
        <f>IF(B443&lt;&gt;"",_xlfn.TEXTJOIN("-",1,COUNTIF($B$2:$B443,B443),B443:E443),"")</f>
        <v/>
      </c>
      <c r="B443" s="32"/>
      <c r="C443" s="32"/>
      <c r="D443" s="32"/>
      <c r="E443" s="32"/>
      <c r="F443" s="32"/>
      <c r="G443" s="32"/>
      <c r="H443" s="32"/>
      <c r="I443" s="32"/>
      <c r="J443" s="32"/>
      <c r="K443" s="32"/>
      <c r="L443" s="32"/>
      <c r="M443" s="32" t="str">
        <f t="shared" si="7"/>
        <v/>
      </c>
      <c r="N443" s="32"/>
    </row>
    <row r="444" spans="1:14" s="36" customFormat="1" ht="14.1" customHeight="1" x14ac:dyDescent="0.25">
      <c r="A444" s="32" t="str">
        <f>IF(B444&lt;&gt;"",_xlfn.TEXTJOIN("-",1,COUNTIF($B$2:$B444,B444),B444:E444),"")</f>
        <v/>
      </c>
      <c r="B444" s="32"/>
      <c r="C444" s="32"/>
      <c r="D444" s="32"/>
      <c r="E444" s="32"/>
      <c r="F444" s="32"/>
      <c r="G444" s="32"/>
      <c r="H444" s="32"/>
      <c r="I444" s="32"/>
      <c r="J444" s="32"/>
      <c r="K444" s="32"/>
      <c r="L444" s="32"/>
      <c r="M444" s="32" t="str">
        <f t="shared" si="7"/>
        <v/>
      </c>
      <c r="N444" s="32"/>
    </row>
    <row r="445" spans="1:14" s="36" customFormat="1" ht="14.1" customHeight="1" x14ac:dyDescent="0.25">
      <c r="A445" s="32" t="str">
        <f>IF(B445&lt;&gt;"",_xlfn.TEXTJOIN("-",1,COUNTIF($B$2:$B445,B445),B445:E445),"")</f>
        <v/>
      </c>
      <c r="B445" s="32"/>
      <c r="C445" s="32"/>
      <c r="D445" s="32"/>
      <c r="E445" s="32"/>
      <c r="F445" s="32"/>
      <c r="G445" s="32"/>
      <c r="H445" s="32"/>
      <c r="I445" s="32"/>
      <c r="J445" s="32"/>
      <c r="K445" s="32"/>
      <c r="L445" s="32"/>
      <c r="M445" s="32" t="str">
        <f t="shared" si="7"/>
        <v/>
      </c>
      <c r="N445" s="32"/>
    </row>
    <row r="446" spans="1:14" s="36" customFormat="1" ht="14.1" customHeight="1" x14ac:dyDescent="0.25">
      <c r="A446" s="32" t="str">
        <f>IF(B446&lt;&gt;"",_xlfn.TEXTJOIN("-",1,COUNTIF($B$2:$B446,B446),B446:E446),"")</f>
        <v/>
      </c>
      <c r="B446" s="32"/>
      <c r="C446" s="32"/>
      <c r="D446" s="32"/>
      <c r="E446" s="32"/>
      <c r="F446" s="32"/>
      <c r="G446" s="32"/>
      <c r="H446" s="32"/>
      <c r="I446" s="32"/>
      <c r="J446" s="32"/>
      <c r="K446" s="32"/>
      <c r="L446" s="32"/>
      <c r="M446" s="32" t="str">
        <f t="shared" si="7"/>
        <v/>
      </c>
      <c r="N446" s="32"/>
    </row>
    <row r="447" spans="1:14" s="36" customFormat="1" ht="14.1" customHeight="1" x14ac:dyDescent="0.25">
      <c r="A447" s="32" t="str">
        <f>IF(B447&lt;&gt;"",_xlfn.TEXTJOIN("-",1,COUNTIF($B$2:$B447,B447),B447:E447),"")</f>
        <v/>
      </c>
      <c r="B447" s="32"/>
      <c r="C447" s="32"/>
      <c r="D447" s="32"/>
      <c r="E447" s="32"/>
      <c r="F447" s="32"/>
      <c r="G447" s="32"/>
      <c r="H447" s="32"/>
      <c r="I447" s="32"/>
      <c r="J447" s="32"/>
      <c r="K447" s="32"/>
      <c r="L447" s="32"/>
      <c r="M447" s="32" t="str">
        <f t="shared" si="7"/>
        <v/>
      </c>
      <c r="N447" s="32"/>
    </row>
    <row r="448" spans="1:14" s="36" customFormat="1" ht="14.1" customHeight="1" x14ac:dyDescent="0.25">
      <c r="A448" s="32" t="str">
        <f>IF(B448&lt;&gt;"",_xlfn.TEXTJOIN("-",1,COUNTIF($B$2:$B448,B448),B448:E448),"")</f>
        <v/>
      </c>
      <c r="B448" s="32"/>
      <c r="C448" s="32"/>
      <c r="D448" s="32"/>
      <c r="E448" s="32"/>
      <c r="F448" s="32"/>
      <c r="G448" s="32"/>
      <c r="H448" s="32"/>
      <c r="I448" s="32"/>
      <c r="J448" s="32"/>
      <c r="K448" s="32"/>
      <c r="L448" s="32"/>
      <c r="M448" s="32" t="str">
        <f t="shared" si="7"/>
        <v/>
      </c>
      <c r="N448" s="32"/>
    </row>
    <row r="449" spans="1:14" s="36" customFormat="1" ht="14.1" customHeight="1" x14ac:dyDescent="0.25">
      <c r="A449" s="32" t="str">
        <f>IF(B449&lt;&gt;"",_xlfn.TEXTJOIN("-",1,COUNTIF($B$2:$B449,B449),B449:E449),"")</f>
        <v/>
      </c>
      <c r="B449" s="32"/>
      <c r="C449" s="32"/>
      <c r="D449" s="32"/>
      <c r="E449" s="32"/>
      <c r="F449" s="32"/>
      <c r="G449" s="32"/>
      <c r="H449" s="32"/>
      <c r="I449" s="32"/>
      <c r="J449" s="32"/>
      <c r="K449" s="32"/>
      <c r="L449" s="32"/>
      <c r="M449" s="32" t="str">
        <f t="shared" si="7"/>
        <v/>
      </c>
      <c r="N449" s="32"/>
    </row>
    <row r="450" spans="1:14" s="36" customFormat="1" ht="14.1" customHeight="1" x14ac:dyDescent="0.25">
      <c r="A450" s="32" t="str">
        <f>IF(B450&lt;&gt;"",_xlfn.TEXTJOIN("-",1,COUNTIF($B$2:$B450,B450),B450:E450),"")</f>
        <v/>
      </c>
      <c r="B450" s="32"/>
      <c r="C450" s="32"/>
      <c r="D450" s="32"/>
      <c r="E450" s="32"/>
      <c r="F450" s="32"/>
      <c r="G450" s="32"/>
      <c r="H450" s="32"/>
      <c r="I450" s="32"/>
      <c r="J450" s="32"/>
      <c r="K450" s="32"/>
      <c r="L450" s="32"/>
      <c r="M450" s="32" t="str">
        <f t="shared" si="7"/>
        <v/>
      </c>
      <c r="N450" s="32"/>
    </row>
    <row r="451" spans="1:14" s="36" customFormat="1" ht="14.1" customHeight="1" x14ac:dyDescent="0.25">
      <c r="A451" s="32" t="str">
        <f>IF(B451&lt;&gt;"",_xlfn.TEXTJOIN("-",1,COUNTIF($B$2:$B451,B451),B451:E451),"")</f>
        <v/>
      </c>
      <c r="B451" s="32"/>
      <c r="C451" s="32"/>
      <c r="D451" s="32"/>
      <c r="E451" s="32"/>
      <c r="F451" s="32"/>
      <c r="G451" s="32"/>
      <c r="H451" s="32"/>
      <c r="I451" s="32"/>
      <c r="J451" s="32"/>
      <c r="K451" s="32"/>
      <c r="L451" s="32"/>
      <c r="M451" s="32" t="str">
        <f t="shared" ref="M451:M514" si="8">IF(B451="FN",_xlfn.CONCAT("egor.v.ivanov+",LEFT(C451,1),"_",LEFT(D451,2),"_",E451,"@outlook.com"),"")</f>
        <v/>
      </c>
      <c r="N451" s="32"/>
    </row>
    <row r="452" spans="1:14" s="36" customFormat="1" ht="14.1" customHeight="1" x14ac:dyDescent="0.25">
      <c r="A452" s="32" t="str">
        <f>IF(B452&lt;&gt;"",_xlfn.TEXTJOIN("-",1,COUNTIF($B$2:$B452,B452),B452:E452),"")</f>
        <v/>
      </c>
      <c r="B452" s="32"/>
      <c r="C452" s="32"/>
      <c r="D452" s="32"/>
      <c r="E452" s="32"/>
      <c r="F452" s="32"/>
      <c r="G452" s="32"/>
      <c r="H452" s="32"/>
      <c r="I452" s="32"/>
      <c r="J452" s="32"/>
      <c r="K452" s="32"/>
      <c r="L452" s="32"/>
      <c r="M452" s="32" t="str">
        <f t="shared" si="8"/>
        <v/>
      </c>
      <c r="N452" s="32"/>
    </row>
    <row r="453" spans="1:14" s="36" customFormat="1" ht="14.1" customHeight="1" x14ac:dyDescent="0.25">
      <c r="A453" s="32" t="str">
        <f>IF(B453&lt;&gt;"",_xlfn.TEXTJOIN("-",1,COUNTIF($B$2:$B453,B453),B453:E453),"")</f>
        <v/>
      </c>
      <c r="B453" s="32"/>
      <c r="C453" s="32"/>
      <c r="D453" s="32"/>
      <c r="E453" s="32"/>
      <c r="F453" s="32"/>
      <c r="G453" s="32"/>
      <c r="H453" s="32"/>
      <c r="I453" s="32"/>
      <c r="J453" s="32"/>
      <c r="K453" s="32"/>
      <c r="L453" s="32"/>
      <c r="M453" s="32" t="str">
        <f t="shared" si="8"/>
        <v/>
      </c>
      <c r="N453" s="32"/>
    </row>
    <row r="454" spans="1:14" s="36" customFormat="1" ht="14.1" customHeight="1" x14ac:dyDescent="0.25">
      <c r="A454" s="32" t="str">
        <f>IF(B454&lt;&gt;"",_xlfn.TEXTJOIN("-",1,COUNTIF($B$2:$B454,B454),B454:E454),"")</f>
        <v/>
      </c>
      <c r="B454" s="32"/>
      <c r="C454" s="32"/>
      <c r="D454" s="32"/>
      <c r="E454" s="32"/>
      <c r="F454" s="32"/>
      <c r="G454" s="32"/>
      <c r="H454" s="32"/>
      <c r="I454" s="32"/>
      <c r="J454" s="32"/>
      <c r="K454" s="32"/>
      <c r="L454" s="32"/>
      <c r="M454" s="32" t="str">
        <f t="shared" si="8"/>
        <v/>
      </c>
      <c r="N454" s="32"/>
    </row>
    <row r="455" spans="1:14" s="36" customFormat="1" ht="14.1" customHeight="1" x14ac:dyDescent="0.25">
      <c r="A455" s="32" t="str">
        <f>IF(B455&lt;&gt;"",_xlfn.TEXTJOIN("-",1,COUNTIF($B$2:$B455,B455),B455:E455),"")</f>
        <v/>
      </c>
      <c r="B455" s="32"/>
      <c r="C455" s="32"/>
      <c r="D455" s="32"/>
      <c r="E455" s="32"/>
      <c r="F455" s="32"/>
      <c r="G455" s="32"/>
      <c r="H455" s="32"/>
      <c r="I455" s="32"/>
      <c r="J455" s="32"/>
      <c r="K455" s="32"/>
      <c r="L455" s="32"/>
      <c r="M455" s="32" t="str">
        <f t="shared" si="8"/>
        <v/>
      </c>
      <c r="N455" s="32"/>
    </row>
    <row r="456" spans="1:14" s="36" customFormat="1" ht="14.1" customHeight="1" x14ac:dyDescent="0.25">
      <c r="A456" s="32" t="str">
        <f>IF(B456&lt;&gt;"",_xlfn.TEXTJOIN("-",1,COUNTIF($B$2:$B456,B456),B456:E456),"")</f>
        <v/>
      </c>
      <c r="B456" s="32"/>
      <c r="C456" s="32"/>
      <c r="D456" s="32"/>
      <c r="E456" s="32"/>
      <c r="F456" s="32"/>
      <c r="G456" s="32"/>
      <c r="H456" s="32"/>
      <c r="I456" s="32"/>
      <c r="J456" s="32"/>
      <c r="K456" s="32"/>
      <c r="L456" s="32"/>
      <c r="M456" s="32" t="str">
        <f t="shared" si="8"/>
        <v/>
      </c>
      <c r="N456" s="32"/>
    </row>
    <row r="457" spans="1:14" s="36" customFormat="1" ht="14.1" customHeight="1" x14ac:dyDescent="0.25">
      <c r="A457" s="32" t="str">
        <f>IF(B457&lt;&gt;"",_xlfn.TEXTJOIN("-",1,COUNTIF($B$2:$B457,B457),B457:E457),"")</f>
        <v/>
      </c>
      <c r="B457" s="32"/>
      <c r="C457" s="32"/>
      <c r="D457" s="32"/>
      <c r="E457" s="32"/>
      <c r="F457" s="32"/>
      <c r="G457" s="32"/>
      <c r="H457" s="32"/>
      <c r="I457" s="32"/>
      <c r="J457" s="32"/>
      <c r="K457" s="32"/>
      <c r="L457" s="32"/>
      <c r="M457" s="32" t="str">
        <f t="shared" si="8"/>
        <v/>
      </c>
      <c r="N457" s="32"/>
    </row>
    <row r="458" spans="1:14" s="36" customFormat="1" ht="14.1" customHeight="1" x14ac:dyDescent="0.25">
      <c r="A458" s="32" t="str">
        <f>IF(B458&lt;&gt;"",_xlfn.TEXTJOIN("-",1,COUNTIF($B$2:$B458,B458),B458:E458),"")</f>
        <v/>
      </c>
      <c r="B458" s="32"/>
      <c r="C458" s="32"/>
      <c r="D458" s="32"/>
      <c r="E458" s="32"/>
      <c r="F458" s="32"/>
      <c r="G458" s="32"/>
      <c r="H458" s="32"/>
      <c r="I458" s="32"/>
      <c r="J458" s="32"/>
      <c r="K458" s="32"/>
      <c r="L458" s="32"/>
      <c r="M458" s="32" t="str">
        <f t="shared" si="8"/>
        <v/>
      </c>
      <c r="N458" s="32"/>
    </row>
    <row r="459" spans="1:14" s="36" customFormat="1" ht="14.1" customHeight="1" x14ac:dyDescent="0.25">
      <c r="A459" s="32" t="str">
        <f>IF(B459&lt;&gt;"",_xlfn.TEXTJOIN("-",1,COUNTIF($B$2:$B459,B459),B459:E459),"")</f>
        <v/>
      </c>
      <c r="B459" s="32"/>
      <c r="C459" s="32"/>
      <c r="D459" s="32"/>
      <c r="E459" s="32"/>
      <c r="F459" s="32"/>
      <c r="G459" s="32"/>
      <c r="H459" s="32"/>
      <c r="I459" s="32"/>
      <c r="J459" s="32"/>
      <c r="K459" s="32"/>
      <c r="L459" s="32"/>
      <c r="M459" s="32" t="str">
        <f t="shared" si="8"/>
        <v/>
      </c>
      <c r="N459" s="32"/>
    </row>
    <row r="460" spans="1:14" s="36" customFormat="1" ht="14.1" customHeight="1" x14ac:dyDescent="0.25">
      <c r="A460" s="32" t="str">
        <f>IF(B460&lt;&gt;"",_xlfn.TEXTJOIN("-",1,COUNTIF($B$2:$B460,B460),B460:E460),"")</f>
        <v/>
      </c>
      <c r="B460" s="32"/>
      <c r="C460" s="32"/>
      <c r="D460" s="32"/>
      <c r="E460" s="32"/>
      <c r="F460" s="32"/>
      <c r="G460" s="32"/>
      <c r="H460" s="32"/>
      <c r="I460" s="32"/>
      <c r="J460" s="32"/>
      <c r="K460" s="32"/>
      <c r="L460" s="32"/>
      <c r="M460" s="32" t="str">
        <f t="shared" si="8"/>
        <v/>
      </c>
      <c r="N460" s="32"/>
    </row>
    <row r="461" spans="1:14" s="36" customFormat="1" ht="14.1" customHeight="1" x14ac:dyDescent="0.25">
      <c r="A461" s="32" t="str">
        <f>IF(B461&lt;&gt;"",_xlfn.TEXTJOIN("-",1,COUNTIF($B$2:$B461,B461),B461:E461),"")</f>
        <v/>
      </c>
      <c r="B461" s="32"/>
      <c r="C461" s="32"/>
      <c r="D461" s="32"/>
      <c r="E461" s="32"/>
      <c r="F461" s="32"/>
      <c r="G461" s="32"/>
      <c r="H461" s="32"/>
      <c r="I461" s="32"/>
      <c r="J461" s="32"/>
      <c r="K461" s="32"/>
      <c r="L461" s="32"/>
      <c r="M461" s="32" t="str">
        <f t="shared" si="8"/>
        <v/>
      </c>
      <c r="N461" s="32"/>
    </row>
    <row r="462" spans="1:14" s="36" customFormat="1" ht="14.1" customHeight="1" x14ac:dyDescent="0.25">
      <c r="A462" s="32" t="str">
        <f>IF(B462&lt;&gt;"",_xlfn.TEXTJOIN("-",1,COUNTIF($B$2:$B462,B462),B462:E462),"")</f>
        <v/>
      </c>
      <c r="B462" s="32"/>
      <c r="C462" s="32"/>
      <c r="D462" s="32"/>
      <c r="E462" s="32"/>
      <c r="F462" s="32"/>
      <c r="G462" s="32"/>
      <c r="H462" s="32"/>
      <c r="I462" s="32"/>
      <c r="J462" s="32"/>
      <c r="K462" s="32"/>
      <c r="L462" s="32"/>
      <c r="M462" s="32" t="str">
        <f t="shared" si="8"/>
        <v/>
      </c>
      <c r="N462" s="32"/>
    </row>
    <row r="463" spans="1:14" s="36" customFormat="1" ht="14.1" customHeight="1" x14ac:dyDescent="0.25">
      <c r="A463" s="32" t="str">
        <f>IF(B463&lt;&gt;"",_xlfn.TEXTJOIN("-",1,COUNTIF($B$2:$B463,B463),B463:E463),"")</f>
        <v/>
      </c>
      <c r="B463" s="32"/>
      <c r="C463" s="32"/>
      <c r="D463" s="32"/>
      <c r="E463" s="32"/>
      <c r="F463" s="32"/>
      <c r="G463" s="32"/>
      <c r="H463" s="32"/>
      <c r="I463" s="32"/>
      <c r="J463" s="32"/>
      <c r="K463" s="32"/>
      <c r="L463" s="32"/>
      <c r="M463" s="32" t="str">
        <f t="shared" si="8"/>
        <v/>
      </c>
      <c r="N463" s="32"/>
    </row>
    <row r="464" spans="1:14" s="36" customFormat="1" ht="14.1" customHeight="1" x14ac:dyDescent="0.25">
      <c r="A464" s="32" t="str">
        <f>IF(B464&lt;&gt;"",_xlfn.TEXTJOIN("-",1,COUNTIF($B$2:$B464,B464),B464:E464),"")</f>
        <v/>
      </c>
      <c r="B464" s="32"/>
      <c r="C464" s="32"/>
      <c r="D464" s="32"/>
      <c r="E464" s="32"/>
      <c r="F464" s="32"/>
      <c r="G464" s="32"/>
      <c r="H464" s="32"/>
      <c r="I464" s="32"/>
      <c r="J464" s="32"/>
      <c r="K464" s="32"/>
      <c r="L464" s="32"/>
      <c r="M464" s="32" t="str">
        <f t="shared" si="8"/>
        <v/>
      </c>
      <c r="N464" s="32"/>
    </row>
    <row r="465" spans="1:14" s="36" customFormat="1" ht="14.1" customHeight="1" x14ac:dyDescent="0.25">
      <c r="A465" s="32" t="str">
        <f>IF(B465&lt;&gt;"",_xlfn.TEXTJOIN("-",1,COUNTIF($B$2:$B465,B465),B465:E465),"")</f>
        <v/>
      </c>
      <c r="B465" s="32"/>
      <c r="C465" s="32"/>
      <c r="D465" s="32"/>
      <c r="E465" s="32"/>
      <c r="F465" s="32"/>
      <c r="G465" s="32"/>
      <c r="H465" s="32"/>
      <c r="I465" s="32"/>
      <c r="J465" s="32"/>
      <c r="K465" s="32"/>
      <c r="L465" s="32"/>
      <c r="M465" s="32" t="str">
        <f t="shared" si="8"/>
        <v/>
      </c>
      <c r="N465" s="32"/>
    </row>
    <row r="466" spans="1:14" s="36" customFormat="1" ht="14.1" customHeight="1" x14ac:dyDescent="0.25">
      <c r="A466" s="32" t="str">
        <f>IF(B466&lt;&gt;"",_xlfn.TEXTJOIN("-",1,COUNTIF($B$2:$B466,B466),B466:E466),"")</f>
        <v/>
      </c>
      <c r="B466" s="32"/>
      <c r="C466" s="32"/>
      <c r="D466" s="32"/>
      <c r="E466" s="32"/>
      <c r="F466" s="32"/>
      <c r="G466" s="32"/>
      <c r="H466" s="32"/>
      <c r="I466" s="32"/>
      <c r="J466" s="32"/>
      <c r="K466" s="32"/>
      <c r="L466" s="32"/>
      <c r="M466" s="32" t="str">
        <f t="shared" si="8"/>
        <v/>
      </c>
      <c r="N466" s="32"/>
    </row>
    <row r="467" spans="1:14" s="36" customFormat="1" ht="14.1" customHeight="1" x14ac:dyDescent="0.25">
      <c r="A467" s="32" t="str">
        <f>IF(B467&lt;&gt;"",_xlfn.TEXTJOIN("-",1,COUNTIF($B$2:$B467,B467),B467:E467),"")</f>
        <v/>
      </c>
      <c r="B467" s="32"/>
      <c r="C467" s="32"/>
      <c r="D467" s="32"/>
      <c r="E467" s="32"/>
      <c r="F467" s="32"/>
      <c r="G467" s="32"/>
      <c r="H467" s="32"/>
      <c r="I467" s="32"/>
      <c r="J467" s="32"/>
      <c r="K467" s="32"/>
      <c r="L467" s="32"/>
      <c r="M467" s="32" t="str">
        <f t="shared" si="8"/>
        <v/>
      </c>
      <c r="N467" s="32"/>
    </row>
    <row r="468" spans="1:14" s="36" customFormat="1" ht="14.1" customHeight="1" x14ac:dyDescent="0.25">
      <c r="A468" s="32" t="str">
        <f>IF(B468&lt;&gt;"",_xlfn.TEXTJOIN("-",1,COUNTIF($B$2:$B468,B468),B468:E468),"")</f>
        <v/>
      </c>
      <c r="B468" s="32"/>
      <c r="C468" s="32"/>
      <c r="D468" s="32"/>
      <c r="E468" s="32"/>
      <c r="F468" s="32"/>
      <c r="G468" s="32"/>
      <c r="H468" s="32"/>
      <c r="I468" s="32"/>
      <c r="J468" s="32"/>
      <c r="K468" s="32"/>
      <c r="L468" s="32"/>
      <c r="M468" s="32" t="str">
        <f t="shared" si="8"/>
        <v/>
      </c>
      <c r="N468" s="32"/>
    </row>
    <row r="469" spans="1:14" s="36" customFormat="1" ht="14.1" customHeight="1" x14ac:dyDescent="0.25">
      <c r="A469" s="32" t="str">
        <f>IF(B469&lt;&gt;"",_xlfn.TEXTJOIN("-",1,COUNTIF($B$2:$B469,B469),B469:E469),"")</f>
        <v/>
      </c>
      <c r="B469" s="32"/>
      <c r="C469" s="32"/>
      <c r="D469" s="32"/>
      <c r="E469" s="32"/>
      <c r="F469" s="32"/>
      <c r="G469" s="32"/>
      <c r="H469" s="32"/>
      <c r="I469" s="32"/>
      <c r="J469" s="32"/>
      <c r="K469" s="32"/>
      <c r="L469" s="32"/>
      <c r="M469" s="32" t="str">
        <f t="shared" si="8"/>
        <v/>
      </c>
      <c r="N469" s="32"/>
    </row>
    <row r="470" spans="1:14" s="36" customFormat="1" ht="14.1" customHeight="1" x14ac:dyDescent="0.25">
      <c r="A470" s="32" t="str">
        <f>IF(B470&lt;&gt;"",_xlfn.TEXTJOIN("-",1,COUNTIF($B$2:$B470,B470),B470:E470),"")</f>
        <v/>
      </c>
      <c r="B470" s="32"/>
      <c r="C470" s="32"/>
      <c r="D470" s="32"/>
      <c r="E470" s="32"/>
      <c r="F470" s="32"/>
      <c r="G470" s="32"/>
      <c r="H470" s="32"/>
      <c r="I470" s="32"/>
      <c r="J470" s="32"/>
      <c r="K470" s="32"/>
      <c r="L470" s="32"/>
      <c r="M470" s="32" t="str">
        <f t="shared" si="8"/>
        <v/>
      </c>
      <c r="N470" s="32"/>
    </row>
    <row r="471" spans="1:14" s="36" customFormat="1" ht="14.1" customHeight="1" x14ac:dyDescent="0.25">
      <c r="A471" s="32" t="str">
        <f>IF(B471&lt;&gt;"",_xlfn.TEXTJOIN("-",1,COUNTIF($B$2:$B471,B471),B471:E471),"")</f>
        <v/>
      </c>
      <c r="B471" s="32"/>
      <c r="C471" s="32"/>
      <c r="D471" s="32"/>
      <c r="E471" s="32"/>
      <c r="F471" s="32"/>
      <c r="G471" s="32"/>
      <c r="H471" s="32"/>
      <c r="I471" s="32"/>
      <c r="J471" s="32"/>
      <c r="K471" s="32"/>
      <c r="L471" s="32"/>
      <c r="M471" s="32" t="str">
        <f t="shared" si="8"/>
        <v/>
      </c>
      <c r="N471" s="32"/>
    </row>
    <row r="472" spans="1:14" s="36" customFormat="1" ht="14.1" customHeight="1" x14ac:dyDescent="0.25">
      <c r="A472" s="32" t="str">
        <f>IF(B472&lt;&gt;"",_xlfn.TEXTJOIN("-",1,COUNTIF($B$2:$B472,B472),B472:E472),"")</f>
        <v/>
      </c>
      <c r="B472" s="32"/>
      <c r="C472" s="32"/>
      <c r="D472" s="32"/>
      <c r="E472" s="32"/>
      <c r="F472" s="32"/>
      <c r="G472" s="32"/>
      <c r="H472" s="32"/>
      <c r="I472" s="32"/>
      <c r="J472" s="32"/>
      <c r="K472" s="32"/>
      <c r="L472" s="32"/>
      <c r="M472" s="32" t="str">
        <f t="shared" si="8"/>
        <v/>
      </c>
      <c r="N472" s="32"/>
    </row>
    <row r="473" spans="1:14" s="36" customFormat="1" ht="14.1" customHeight="1" x14ac:dyDescent="0.25">
      <c r="A473" s="32" t="str">
        <f>IF(B473&lt;&gt;"",_xlfn.TEXTJOIN("-",1,COUNTIF($B$2:$B473,B473),B473:E473),"")</f>
        <v/>
      </c>
      <c r="B473" s="32"/>
      <c r="C473" s="32"/>
      <c r="D473" s="32"/>
      <c r="E473" s="32"/>
      <c r="F473" s="32"/>
      <c r="G473" s="32"/>
      <c r="H473" s="32"/>
      <c r="I473" s="32"/>
      <c r="J473" s="32"/>
      <c r="K473" s="32"/>
      <c r="L473" s="32"/>
      <c r="M473" s="32" t="str">
        <f t="shared" si="8"/>
        <v/>
      </c>
      <c r="N473" s="32"/>
    </row>
    <row r="474" spans="1:14" s="36" customFormat="1" ht="14.1" customHeight="1" x14ac:dyDescent="0.25">
      <c r="A474" s="32" t="str">
        <f>IF(B474&lt;&gt;"",_xlfn.TEXTJOIN("-",1,COUNTIF($B$2:$B474,B474),B474:E474),"")</f>
        <v/>
      </c>
      <c r="B474" s="32"/>
      <c r="C474" s="32"/>
      <c r="D474" s="32"/>
      <c r="E474" s="32"/>
      <c r="F474" s="32"/>
      <c r="G474" s="32"/>
      <c r="H474" s="32"/>
      <c r="I474" s="32"/>
      <c r="J474" s="32"/>
      <c r="K474" s="32"/>
      <c r="L474" s="32"/>
      <c r="M474" s="32" t="str">
        <f t="shared" si="8"/>
        <v/>
      </c>
      <c r="N474" s="32"/>
    </row>
    <row r="475" spans="1:14" s="36" customFormat="1" ht="14.1" customHeight="1" x14ac:dyDescent="0.25">
      <c r="A475" s="32" t="str">
        <f>IF(B475&lt;&gt;"",_xlfn.TEXTJOIN("-",1,COUNTIF($B$2:$B475,B475),B475:E475),"")</f>
        <v/>
      </c>
      <c r="B475" s="32"/>
      <c r="C475" s="32"/>
      <c r="D475" s="32"/>
      <c r="E475" s="32"/>
      <c r="F475" s="32"/>
      <c r="G475" s="32"/>
      <c r="H475" s="32"/>
      <c r="I475" s="32"/>
      <c r="J475" s="32"/>
      <c r="K475" s="32"/>
      <c r="L475" s="32"/>
      <c r="M475" s="32" t="str">
        <f t="shared" si="8"/>
        <v/>
      </c>
      <c r="N475" s="32"/>
    </row>
    <row r="476" spans="1:14" s="36" customFormat="1" ht="14.1" customHeight="1" x14ac:dyDescent="0.25">
      <c r="A476" s="32" t="str">
        <f>IF(B476&lt;&gt;"",_xlfn.TEXTJOIN("-",1,COUNTIF($B$2:$B476,B476),B476:E476),"")</f>
        <v/>
      </c>
      <c r="B476" s="32"/>
      <c r="C476" s="32"/>
      <c r="D476" s="32"/>
      <c r="E476" s="32"/>
      <c r="F476" s="32"/>
      <c r="G476" s="32"/>
      <c r="H476" s="32"/>
      <c r="I476" s="32"/>
      <c r="J476" s="32"/>
      <c r="K476" s="32"/>
      <c r="L476" s="32"/>
      <c r="M476" s="32" t="str">
        <f t="shared" si="8"/>
        <v/>
      </c>
      <c r="N476" s="32"/>
    </row>
    <row r="477" spans="1:14" s="36" customFormat="1" ht="14.1" customHeight="1" x14ac:dyDescent="0.25">
      <c r="A477" s="32" t="str">
        <f>IF(B477&lt;&gt;"",_xlfn.TEXTJOIN("-",1,COUNTIF($B$2:$B477,B477),B477:E477),"")</f>
        <v/>
      </c>
      <c r="B477" s="32"/>
      <c r="C477" s="32"/>
      <c r="D477" s="32"/>
      <c r="E477" s="32"/>
      <c r="F477" s="32"/>
      <c r="G477" s="32"/>
      <c r="H477" s="32"/>
      <c r="I477" s="32"/>
      <c r="J477" s="32"/>
      <c r="K477" s="32"/>
      <c r="L477" s="32"/>
      <c r="M477" s="32" t="str">
        <f t="shared" si="8"/>
        <v/>
      </c>
      <c r="N477" s="32"/>
    </row>
    <row r="478" spans="1:14" s="36" customFormat="1" ht="14.1" customHeight="1" x14ac:dyDescent="0.25">
      <c r="A478" s="32" t="str">
        <f>IF(B478&lt;&gt;"",_xlfn.TEXTJOIN("-",1,COUNTIF($B$2:$B478,B478),B478:E478),"")</f>
        <v/>
      </c>
      <c r="B478" s="32"/>
      <c r="C478" s="32"/>
      <c r="D478" s="32"/>
      <c r="E478" s="32"/>
      <c r="F478" s="32"/>
      <c r="G478" s="32"/>
      <c r="H478" s="32"/>
      <c r="I478" s="32"/>
      <c r="J478" s="32"/>
      <c r="K478" s="32"/>
      <c r="L478" s="32"/>
      <c r="M478" s="32" t="str">
        <f t="shared" si="8"/>
        <v/>
      </c>
      <c r="N478" s="32"/>
    </row>
    <row r="479" spans="1:14" s="36" customFormat="1" ht="14.1" customHeight="1" x14ac:dyDescent="0.25">
      <c r="A479" s="32" t="str">
        <f>IF(B479&lt;&gt;"",_xlfn.TEXTJOIN("-",1,COUNTIF($B$2:$B479,B479),B479:E479),"")</f>
        <v/>
      </c>
      <c r="B479" s="32"/>
      <c r="C479" s="32"/>
      <c r="D479" s="32"/>
      <c r="E479" s="32"/>
      <c r="F479" s="32"/>
      <c r="G479" s="32"/>
      <c r="H479" s="32"/>
      <c r="I479" s="32"/>
      <c r="J479" s="32"/>
      <c r="K479" s="32"/>
      <c r="L479" s="32"/>
      <c r="M479" s="32" t="str">
        <f t="shared" si="8"/>
        <v/>
      </c>
      <c r="N479" s="32"/>
    </row>
    <row r="480" spans="1:14" s="36" customFormat="1" ht="14.1" customHeight="1" x14ac:dyDescent="0.25">
      <c r="A480" s="32" t="str">
        <f>IF(B480&lt;&gt;"",_xlfn.TEXTJOIN("-",1,COUNTIF($B$2:$B480,B480),B480:E480),"")</f>
        <v/>
      </c>
      <c r="B480" s="32"/>
      <c r="C480" s="32"/>
      <c r="D480" s="32"/>
      <c r="E480" s="32"/>
      <c r="F480" s="32"/>
      <c r="G480" s="32"/>
      <c r="H480" s="32"/>
      <c r="I480" s="32"/>
      <c r="J480" s="32"/>
      <c r="K480" s="32"/>
      <c r="L480" s="32"/>
      <c r="M480" s="32" t="str">
        <f t="shared" si="8"/>
        <v/>
      </c>
      <c r="N480" s="32"/>
    </row>
    <row r="481" spans="1:14" s="36" customFormat="1" ht="14.1" customHeight="1" x14ac:dyDescent="0.25">
      <c r="A481" s="32" t="str">
        <f>IF(B481&lt;&gt;"",_xlfn.TEXTJOIN("-",1,COUNTIF($B$2:$B481,B481),B481:E481),"")</f>
        <v/>
      </c>
      <c r="B481" s="32"/>
      <c r="C481" s="32"/>
      <c r="D481" s="32"/>
      <c r="E481" s="32"/>
      <c r="F481" s="32"/>
      <c r="G481" s="32"/>
      <c r="H481" s="32"/>
      <c r="I481" s="32"/>
      <c r="J481" s="32"/>
      <c r="K481" s="32"/>
      <c r="L481" s="32"/>
      <c r="M481" s="32" t="str">
        <f t="shared" si="8"/>
        <v/>
      </c>
      <c r="N481" s="32"/>
    </row>
    <row r="482" spans="1:14" s="36" customFormat="1" ht="14.1" customHeight="1" x14ac:dyDescent="0.25">
      <c r="A482" s="32" t="str">
        <f>IF(B482&lt;&gt;"",_xlfn.TEXTJOIN("-",1,COUNTIF($B$2:$B482,B482),B482:E482),"")</f>
        <v/>
      </c>
      <c r="B482" s="32"/>
      <c r="C482" s="32"/>
      <c r="D482" s="32"/>
      <c r="E482" s="32"/>
      <c r="F482" s="32"/>
      <c r="G482" s="32"/>
      <c r="H482" s="32"/>
      <c r="I482" s="32"/>
      <c r="J482" s="32"/>
      <c r="K482" s="32"/>
      <c r="L482" s="32"/>
      <c r="M482" s="32" t="str">
        <f t="shared" si="8"/>
        <v/>
      </c>
      <c r="N482" s="32"/>
    </row>
    <row r="483" spans="1:14" s="36" customFormat="1" ht="14.1" customHeight="1" x14ac:dyDescent="0.25">
      <c r="A483" s="32" t="str">
        <f>IF(B483&lt;&gt;"",_xlfn.TEXTJOIN("-",1,COUNTIF($B$2:$B483,B483),B483:E483),"")</f>
        <v/>
      </c>
      <c r="B483" s="32"/>
      <c r="C483" s="32"/>
      <c r="D483" s="32"/>
      <c r="E483" s="32"/>
      <c r="F483" s="32"/>
      <c r="G483" s="32"/>
      <c r="H483" s="32"/>
      <c r="I483" s="32"/>
      <c r="J483" s="32"/>
      <c r="K483" s="32"/>
      <c r="L483" s="32"/>
      <c r="M483" s="32" t="str">
        <f t="shared" si="8"/>
        <v/>
      </c>
      <c r="N483" s="32"/>
    </row>
    <row r="484" spans="1:14" s="36" customFormat="1" ht="14.1" customHeight="1" x14ac:dyDescent="0.25">
      <c r="A484" s="32" t="str">
        <f>IF(B484&lt;&gt;"",_xlfn.TEXTJOIN("-",1,COUNTIF($B$2:$B484,B484),B484:E484),"")</f>
        <v/>
      </c>
      <c r="B484" s="32"/>
      <c r="C484" s="32"/>
      <c r="D484" s="32"/>
      <c r="E484" s="32"/>
      <c r="F484" s="32"/>
      <c r="G484" s="32"/>
      <c r="H484" s="32"/>
      <c r="I484" s="32"/>
      <c r="J484" s="32"/>
      <c r="K484" s="32"/>
      <c r="L484" s="32"/>
      <c r="M484" s="32" t="str">
        <f t="shared" si="8"/>
        <v/>
      </c>
      <c r="N484" s="32"/>
    </row>
    <row r="485" spans="1:14" s="36" customFormat="1" ht="14.1" customHeight="1" x14ac:dyDescent="0.25">
      <c r="A485" s="32" t="str">
        <f>IF(B485&lt;&gt;"",_xlfn.TEXTJOIN("-",1,COUNTIF($B$2:$B485,B485),B485:E485),"")</f>
        <v/>
      </c>
      <c r="B485" s="32"/>
      <c r="C485" s="32"/>
      <c r="D485" s="32"/>
      <c r="E485" s="32"/>
      <c r="F485" s="32"/>
      <c r="G485" s="32"/>
      <c r="H485" s="32"/>
      <c r="I485" s="32"/>
      <c r="J485" s="32"/>
      <c r="K485" s="32"/>
      <c r="L485" s="32"/>
      <c r="M485" s="32" t="str">
        <f t="shared" si="8"/>
        <v/>
      </c>
      <c r="N485" s="32"/>
    </row>
    <row r="486" spans="1:14" s="36" customFormat="1" ht="14.1" customHeight="1" x14ac:dyDescent="0.25">
      <c r="A486" s="32" t="str">
        <f>IF(B486&lt;&gt;"",_xlfn.TEXTJOIN("-",1,COUNTIF($B$2:$B486,B486),B486:E486),"")</f>
        <v/>
      </c>
      <c r="B486" s="32"/>
      <c r="C486" s="32"/>
      <c r="D486" s="32"/>
      <c r="E486" s="32"/>
      <c r="F486" s="32"/>
      <c r="G486" s="32"/>
      <c r="H486" s="32"/>
      <c r="I486" s="32"/>
      <c r="J486" s="32"/>
      <c r="K486" s="32"/>
      <c r="L486" s="32"/>
      <c r="M486" s="32" t="str">
        <f t="shared" si="8"/>
        <v/>
      </c>
      <c r="N486" s="32"/>
    </row>
    <row r="487" spans="1:14" s="36" customFormat="1" ht="14.1" customHeight="1" x14ac:dyDescent="0.25">
      <c r="A487" s="32" t="str">
        <f>IF(B487&lt;&gt;"",_xlfn.TEXTJOIN("-",1,COUNTIF($B$2:$B487,B487),B487:E487),"")</f>
        <v/>
      </c>
      <c r="B487" s="32"/>
      <c r="C487" s="32"/>
      <c r="D487" s="32"/>
      <c r="E487" s="32"/>
      <c r="F487" s="32"/>
      <c r="G487" s="32"/>
      <c r="H487" s="32"/>
      <c r="I487" s="32"/>
      <c r="J487" s="32"/>
      <c r="K487" s="32"/>
      <c r="L487" s="32"/>
      <c r="M487" s="32" t="str">
        <f t="shared" si="8"/>
        <v/>
      </c>
      <c r="N487" s="32"/>
    </row>
    <row r="488" spans="1:14" s="36" customFormat="1" ht="14.1" customHeight="1" x14ac:dyDescent="0.25">
      <c r="A488" s="32" t="str">
        <f>IF(B488&lt;&gt;"",_xlfn.TEXTJOIN("-",1,COUNTIF($B$2:$B488,B488),B488:E488),"")</f>
        <v/>
      </c>
      <c r="B488" s="32"/>
      <c r="C488" s="32"/>
      <c r="D488" s="32"/>
      <c r="E488" s="32"/>
      <c r="F488" s="32"/>
      <c r="G488" s="32"/>
      <c r="H488" s="32"/>
      <c r="I488" s="32"/>
      <c r="J488" s="32"/>
      <c r="K488" s="32"/>
      <c r="L488" s="32"/>
      <c r="M488" s="32" t="str">
        <f t="shared" si="8"/>
        <v/>
      </c>
      <c r="N488" s="32"/>
    </row>
    <row r="489" spans="1:14" s="36" customFormat="1" ht="14.1" customHeight="1" x14ac:dyDescent="0.25">
      <c r="A489" s="32" t="str">
        <f>IF(B489&lt;&gt;"",_xlfn.TEXTJOIN("-",1,COUNTIF($B$2:$B489,B489),B489:E489),"")</f>
        <v/>
      </c>
      <c r="B489" s="32"/>
      <c r="C489" s="32"/>
      <c r="D489" s="32"/>
      <c r="E489" s="32"/>
      <c r="F489" s="32"/>
      <c r="G489" s="32"/>
      <c r="H489" s="32"/>
      <c r="I489" s="32"/>
      <c r="J489" s="32"/>
      <c r="K489" s="32"/>
      <c r="L489" s="32"/>
      <c r="M489" s="32" t="str">
        <f t="shared" si="8"/>
        <v/>
      </c>
      <c r="N489" s="32"/>
    </row>
    <row r="490" spans="1:14" s="36" customFormat="1" ht="14.1" customHeight="1" x14ac:dyDescent="0.25">
      <c r="A490" s="32" t="str">
        <f>IF(B490&lt;&gt;"",_xlfn.TEXTJOIN("-",1,COUNTIF($B$2:$B490,B490),B490:E490),"")</f>
        <v/>
      </c>
      <c r="B490" s="32"/>
      <c r="C490" s="32"/>
      <c r="D490" s="32"/>
      <c r="E490" s="32"/>
      <c r="F490" s="32"/>
      <c r="G490" s="32"/>
      <c r="H490" s="32"/>
      <c r="I490" s="32"/>
      <c r="J490" s="32"/>
      <c r="K490" s="32"/>
      <c r="L490" s="32"/>
      <c r="M490" s="32" t="str">
        <f t="shared" si="8"/>
        <v/>
      </c>
      <c r="N490" s="32"/>
    </row>
    <row r="491" spans="1:14" s="36" customFormat="1" ht="14.1" customHeight="1" x14ac:dyDescent="0.25">
      <c r="A491" s="32" t="str">
        <f>IF(B491&lt;&gt;"",_xlfn.TEXTJOIN("-",1,COUNTIF($B$2:$B491,B491),B491:E491),"")</f>
        <v/>
      </c>
      <c r="B491" s="32"/>
      <c r="C491" s="32"/>
      <c r="D491" s="32"/>
      <c r="E491" s="32"/>
      <c r="F491" s="32"/>
      <c r="G491" s="32"/>
      <c r="H491" s="32"/>
      <c r="I491" s="32"/>
      <c r="J491" s="32"/>
      <c r="K491" s="32"/>
      <c r="L491" s="32"/>
      <c r="M491" s="32" t="str">
        <f t="shared" si="8"/>
        <v/>
      </c>
      <c r="N491" s="32"/>
    </row>
    <row r="492" spans="1:14" s="36" customFormat="1" ht="14.1" customHeight="1" x14ac:dyDescent="0.25">
      <c r="A492" s="32" t="str">
        <f>IF(B492&lt;&gt;"",_xlfn.TEXTJOIN("-",1,COUNTIF($B$2:$B492,B492),B492:E492),"")</f>
        <v/>
      </c>
      <c r="B492" s="32"/>
      <c r="C492" s="32"/>
      <c r="D492" s="32"/>
      <c r="E492" s="32"/>
      <c r="F492" s="32"/>
      <c r="G492" s="32"/>
      <c r="H492" s="32"/>
      <c r="I492" s="32"/>
      <c r="J492" s="32"/>
      <c r="K492" s="32"/>
      <c r="L492" s="32"/>
      <c r="M492" s="32" t="str">
        <f t="shared" si="8"/>
        <v/>
      </c>
      <c r="N492" s="32"/>
    </row>
    <row r="493" spans="1:14" s="36" customFormat="1" ht="14.1" customHeight="1" x14ac:dyDescent="0.25">
      <c r="A493" s="32" t="str">
        <f>IF(B493&lt;&gt;"",_xlfn.TEXTJOIN("-",1,COUNTIF($B$2:$B493,B493),B493:E493),"")</f>
        <v/>
      </c>
      <c r="B493" s="32"/>
      <c r="C493" s="32"/>
      <c r="D493" s="32"/>
      <c r="E493" s="32"/>
      <c r="F493" s="32"/>
      <c r="G493" s="32"/>
      <c r="H493" s="32"/>
      <c r="I493" s="32"/>
      <c r="J493" s="32"/>
      <c r="K493" s="32"/>
      <c r="L493" s="32"/>
      <c r="M493" s="32" t="str">
        <f t="shared" si="8"/>
        <v/>
      </c>
      <c r="N493" s="32"/>
    </row>
    <row r="494" spans="1:14" s="36" customFormat="1" ht="14.1" customHeight="1" x14ac:dyDescent="0.25">
      <c r="A494" s="32" t="str">
        <f>IF(B494&lt;&gt;"",_xlfn.TEXTJOIN("-",1,COUNTIF($B$2:$B494,B494),B494:E494),"")</f>
        <v/>
      </c>
      <c r="B494" s="32"/>
      <c r="C494" s="32"/>
      <c r="D494" s="32"/>
      <c r="E494" s="32"/>
      <c r="F494" s="32"/>
      <c r="G494" s="32"/>
      <c r="H494" s="32"/>
      <c r="I494" s="32"/>
      <c r="J494" s="32"/>
      <c r="K494" s="32"/>
      <c r="L494" s="32"/>
      <c r="M494" s="32" t="str">
        <f t="shared" si="8"/>
        <v/>
      </c>
      <c r="N494" s="32"/>
    </row>
    <row r="495" spans="1:14" s="36" customFormat="1" ht="14.1" customHeight="1" x14ac:dyDescent="0.25">
      <c r="A495" s="32" t="str">
        <f>IF(B495&lt;&gt;"",_xlfn.TEXTJOIN("-",1,COUNTIF($B$2:$B495,B495),B495:E495),"")</f>
        <v/>
      </c>
      <c r="B495" s="32"/>
      <c r="C495" s="32"/>
      <c r="D495" s="32"/>
      <c r="E495" s="32"/>
      <c r="F495" s="32"/>
      <c r="G495" s="32"/>
      <c r="H495" s="32"/>
      <c r="I495" s="32"/>
      <c r="J495" s="32"/>
      <c r="K495" s="32"/>
      <c r="L495" s="32"/>
      <c r="M495" s="32" t="str">
        <f t="shared" si="8"/>
        <v/>
      </c>
      <c r="N495" s="32"/>
    </row>
    <row r="496" spans="1:14" s="36" customFormat="1" ht="14.1" customHeight="1" x14ac:dyDescent="0.25">
      <c r="A496" s="32" t="str">
        <f>IF(B496&lt;&gt;"",_xlfn.TEXTJOIN("-",1,COUNTIF($B$2:$B496,B496),B496:E496),"")</f>
        <v/>
      </c>
      <c r="B496" s="32"/>
      <c r="C496" s="32"/>
      <c r="D496" s="32"/>
      <c r="E496" s="32"/>
      <c r="F496" s="32"/>
      <c r="G496" s="32"/>
      <c r="H496" s="32"/>
      <c r="I496" s="32"/>
      <c r="J496" s="32"/>
      <c r="K496" s="32"/>
      <c r="L496" s="32"/>
      <c r="M496" s="32" t="str">
        <f t="shared" si="8"/>
        <v/>
      </c>
      <c r="N496" s="32"/>
    </row>
    <row r="497" spans="1:14" s="36" customFormat="1" ht="14.1" customHeight="1" x14ac:dyDescent="0.25">
      <c r="A497" s="32" t="str">
        <f>IF(B497&lt;&gt;"",_xlfn.TEXTJOIN("-",1,COUNTIF($B$2:$B497,B497),B497:E497),"")</f>
        <v/>
      </c>
      <c r="B497" s="32"/>
      <c r="C497" s="32"/>
      <c r="D497" s="32"/>
      <c r="E497" s="32"/>
      <c r="F497" s="32"/>
      <c r="G497" s="32"/>
      <c r="H497" s="32"/>
      <c r="I497" s="32"/>
      <c r="J497" s="32"/>
      <c r="K497" s="32"/>
      <c r="L497" s="32"/>
      <c r="M497" s="32" t="str">
        <f t="shared" si="8"/>
        <v/>
      </c>
      <c r="N497" s="32"/>
    </row>
    <row r="498" spans="1:14" s="36" customFormat="1" ht="14.1" customHeight="1" x14ac:dyDescent="0.25">
      <c r="A498" s="32" t="str">
        <f>IF(B498&lt;&gt;"",_xlfn.TEXTJOIN("-",1,COUNTIF($B$2:$B498,B498),B498:E498),"")</f>
        <v/>
      </c>
      <c r="B498" s="32"/>
      <c r="C498" s="32"/>
      <c r="D498" s="32"/>
      <c r="E498" s="32"/>
      <c r="F498" s="32"/>
      <c r="G498" s="32"/>
      <c r="H498" s="32"/>
      <c r="I498" s="32"/>
      <c r="J498" s="32"/>
      <c r="K498" s="32"/>
      <c r="L498" s="32"/>
      <c r="M498" s="32" t="str">
        <f t="shared" si="8"/>
        <v/>
      </c>
      <c r="N498" s="32"/>
    </row>
    <row r="499" spans="1:14" s="36" customFormat="1" ht="14.1" customHeight="1" x14ac:dyDescent="0.25">
      <c r="A499" s="32" t="str">
        <f>IF(B499&lt;&gt;"",_xlfn.TEXTJOIN("-",1,COUNTIF($B$2:$B499,B499),B499:E499),"")</f>
        <v/>
      </c>
      <c r="B499" s="32"/>
      <c r="C499" s="32"/>
      <c r="D499" s="32"/>
      <c r="E499" s="32"/>
      <c r="F499" s="32"/>
      <c r="G499" s="32"/>
      <c r="H499" s="32"/>
      <c r="I499" s="32"/>
      <c r="J499" s="32"/>
      <c r="K499" s="32"/>
      <c r="L499" s="32"/>
      <c r="M499" s="32" t="str">
        <f t="shared" si="8"/>
        <v/>
      </c>
      <c r="N499" s="32"/>
    </row>
    <row r="500" spans="1:14" s="36" customFormat="1" ht="14.1" customHeight="1" x14ac:dyDescent="0.25">
      <c r="A500" s="32" t="str">
        <f>IF(B500&lt;&gt;"",_xlfn.TEXTJOIN("-",1,COUNTIF($B$2:$B500,B500),B500:E500),"")</f>
        <v/>
      </c>
      <c r="B500" s="32"/>
      <c r="C500" s="32"/>
      <c r="D500" s="32"/>
      <c r="E500" s="32"/>
      <c r="F500" s="32"/>
      <c r="G500" s="32"/>
      <c r="H500" s="32"/>
      <c r="I500" s="32"/>
      <c r="J500" s="32"/>
      <c r="K500" s="32"/>
      <c r="L500" s="32"/>
      <c r="M500" s="32" t="str">
        <f t="shared" si="8"/>
        <v/>
      </c>
      <c r="N500" s="32"/>
    </row>
    <row r="501" spans="1:14" s="36" customFormat="1" ht="14.1" customHeight="1" x14ac:dyDescent="0.25">
      <c r="A501" s="32" t="str">
        <f>IF(B501&lt;&gt;"",_xlfn.TEXTJOIN("-",1,COUNTIF($B$2:$B501,B501),B501:E501),"")</f>
        <v/>
      </c>
      <c r="B501" s="32"/>
      <c r="C501" s="32"/>
      <c r="D501" s="32"/>
      <c r="E501" s="32"/>
      <c r="F501" s="32"/>
      <c r="G501" s="32"/>
      <c r="H501" s="32"/>
      <c r="I501" s="32"/>
      <c r="J501" s="32"/>
      <c r="K501" s="32"/>
      <c r="L501" s="32"/>
      <c r="M501" s="32" t="str">
        <f t="shared" si="8"/>
        <v/>
      </c>
      <c r="N501" s="32"/>
    </row>
    <row r="502" spans="1:14" s="36" customFormat="1" ht="14.1" customHeight="1" x14ac:dyDescent="0.25">
      <c r="A502" s="32" t="str">
        <f>IF(B502&lt;&gt;"",_xlfn.TEXTJOIN("-",1,COUNTIF($B$2:$B502,B502),B502:E502),"")</f>
        <v/>
      </c>
      <c r="B502" s="32"/>
      <c r="C502" s="32"/>
      <c r="D502" s="32"/>
      <c r="E502" s="32"/>
      <c r="F502" s="32"/>
      <c r="G502" s="32"/>
      <c r="H502" s="32"/>
      <c r="I502" s="32"/>
      <c r="J502" s="32"/>
      <c r="K502" s="32"/>
      <c r="L502" s="32"/>
      <c r="M502" s="32" t="str">
        <f t="shared" si="8"/>
        <v/>
      </c>
      <c r="N502" s="32"/>
    </row>
    <row r="503" spans="1:14" s="36" customFormat="1" ht="14.1" customHeight="1" x14ac:dyDescent="0.25">
      <c r="A503" s="32" t="str">
        <f>IF(B503&lt;&gt;"",_xlfn.TEXTJOIN("-",1,COUNTIF($B$2:$B503,B503),B503:E503),"")</f>
        <v/>
      </c>
      <c r="B503" s="32"/>
      <c r="C503" s="32"/>
      <c r="D503" s="32"/>
      <c r="E503" s="32"/>
      <c r="F503" s="32"/>
      <c r="G503" s="32"/>
      <c r="H503" s="32"/>
      <c r="I503" s="32"/>
      <c r="J503" s="32"/>
      <c r="K503" s="32"/>
      <c r="L503" s="32"/>
      <c r="M503" s="32" t="str">
        <f t="shared" si="8"/>
        <v/>
      </c>
      <c r="N503" s="32"/>
    </row>
    <row r="504" spans="1:14" s="36" customFormat="1" ht="14.1" customHeight="1" x14ac:dyDescent="0.25">
      <c r="A504" s="32" t="str">
        <f>IF(B504&lt;&gt;"",_xlfn.TEXTJOIN("-",1,COUNTIF($B$2:$B504,B504),B504:E504),"")</f>
        <v/>
      </c>
      <c r="B504" s="32"/>
      <c r="C504" s="32"/>
      <c r="D504" s="32"/>
      <c r="E504" s="32"/>
      <c r="F504" s="32"/>
      <c r="G504" s="32"/>
      <c r="H504" s="32"/>
      <c r="I504" s="32"/>
      <c r="J504" s="32"/>
      <c r="K504" s="32"/>
      <c r="L504" s="32"/>
      <c r="M504" s="32" t="str">
        <f t="shared" si="8"/>
        <v/>
      </c>
      <c r="N504" s="32"/>
    </row>
    <row r="505" spans="1:14" s="36" customFormat="1" ht="14.1" customHeight="1" x14ac:dyDescent="0.25">
      <c r="A505" s="32" t="str">
        <f>IF(B505&lt;&gt;"",_xlfn.TEXTJOIN("-",1,COUNTIF($B$2:$B505,B505),B505:E505),"")</f>
        <v/>
      </c>
      <c r="B505" s="32"/>
      <c r="C505" s="32"/>
      <c r="D505" s="32"/>
      <c r="E505" s="32"/>
      <c r="F505" s="32"/>
      <c r="G505" s="32"/>
      <c r="H505" s="32"/>
      <c r="I505" s="32"/>
      <c r="J505" s="32"/>
      <c r="K505" s="32"/>
      <c r="L505" s="32"/>
      <c r="M505" s="32" t="str">
        <f t="shared" si="8"/>
        <v/>
      </c>
      <c r="N505" s="32"/>
    </row>
    <row r="506" spans="1:14" s="36" customFormat="1" ht="14.1" customHeight="1" x14ac:dyDescent="0.25">
      <c r="A506" s="32" t="str">
        <f>IF(B506&lt;&gt;"",_xlfn.TEXTJOIN("-",1,COUNTIF($B$2:$B506,B506),B506:E506),"")</f>
        <v/>
      </c>
      <c r="B506" s="32"/>
      <c r="C506" s="32"/>
      <c r="D506" s="32"/>
      <c r="E506" s="32"/>
      <c r="F506" s="32"/>
      <c r="G506" s="32"/>
      <c r="H506" s="32"/>
      <c r="I506" s="32"/>
      <c r="J506" s="32"/>
      <c r="K506" s="32"/>
      <c r="L506" s="32"/>
      <c r="M506" s="32" t="str">
        <f t="shared" si="8"/>
        <v/>
      </c>
      <c r="N506" s="32"/>
    </row>
    <row r="507" spans="1:14" s="36" customFormat="1" ht="14.1" customHeight="1" x14ac:dyDescent="0.25">
      <c r="A507" s="32" t="str">
        <f>IF(B507&lt;&gt;"",_xlfn.TEXTJOIN("-",1,COUNTIF($B$2:$B507,B507),B507:E507),"")</f>
        <v/>
      </c>
      <c r="B507" s="32"/>
      <c r="C507" s="32"/>
      <c r="D507" s="32"/>
      <c r="E507" s="32"/>
      <c r="F507" s="32"/>
      <c r="G507" s="32"/>
      <c r="H507" s="32"/>
      <c r="I507" s="32"/>
      <c r="J507" s="32"/>
      <c r="K507" s="32"/>
      <c r="L507" s="32"/>
      <c r="M507" s="32" t="str">
        <f t="shared" si="8"/>
        <v/>
      </c>
      <c r="N507" s="32"/>
    </row>
    <row r="508" spans="1:14" s="36" customFormat="1" ht="14.1" customHeight="1" x14ac:dyDescent="0.25">
      <c r="A508" s="32" t="str">
        <f>IF(B508&lt;&gt;"",_xlfn.TEXTJOIN("-",1,COUNTIF($B$2:$B508,B508),B508:E508),"")</f>
        <v/>
      </c>
      <c r="B508" s="32"/>
      <c r="C508" s="32"/>
      <c r="D508" s="32"/>
      <c r="E508" s="32"/>
      <c r="F508" s="32"/>
      <c r="G508" s="32"/>
      <c r="H508" s="32"/>
      <c r="I508" s="32"/>
      <c r="J508" s="32"/>
      <c r="K508" s="32"/>
      <c r="L508" s="32"/>
      <c r="M508" s="32" t="str">
        <f t="shared" si="8"/>
        <v/>
      </c>
      <c r="N508" s="32"/>
    </row>
    <row r="509" spans="1:14" s="36" customFormat="1" ht="14.1" customHeight="1" x14ac:dyDescent="0.25">
      <c r="A509" s="32" t="str">
        <f>IF(B509&lt;&gt;"",_xlfn.TEXTJOIN("-",1,COUNTIF($B$2:$B509,B509),B509:E509),"")</f>
        <v/>
      </c>
      <c r="B509" s="32"/>
      <c r="C509" s="32"/>
      <c r="D509" s="32"/>
      <c r="E509" s="32"/>
      <c r="F509" s="32"/>
      <c r="G509" s="32"/>
      <c r="H509" s="32"/>
      <c r="I509" s="32"/>
      <c r="J509" s="32"/>
      <c r="K509" s="32"/>
      <c r="L509" s="32"/>
      <c r="M509" s="32" t="str">
        <f t="shared" si="8"/>
        <v/>
      </c>
      <c r="N509" s="32"/>
    </row>
    <row r="510" spans="1:14" s="36" customFormat="1" ht="14.1" customHeight="1" x14ac:dyDescent="0.25">
      <c r="A510" s="32" t="str">
        <f>IF(B510&lt;&gt;"",_xlfn.TEXTJOIN("-",1,COUNTIF($B$2:$B510,B510),B510:E510),"")</f>
        <v/>
      </c>
      <c r="B510" s="32"/>
      <c r="C510" s="32"/>
      <c r="D510" s="32"/>
      <c r="E510" s="32"/>
      <c r="F510" s="32"/>
      <c r="G510" s="32"/>
      <c r="H510" s="32"/>
      <c r="I510" s="32"/>
      <c r="J510" s="32"/>
      <c r="K510" s="32"/>
      <c r="L510" s="32"/>
      <c r="M510" s="32" t="str">
        <f t="shared" si="8"/>
        <v/>
      </c>
      <c r="N510" s="32"/>
    </row>
    <row r="511" spans="1:14" s="36" customFormat="1" ht="14.1" customHeight="1" x14ac:dyDescent="0.25">
      <c r="A511" s="32" t="str">
        <f>IF(B511&lt;&gt;"",_xlfn.TEXTJOIN("-",1,COUNTIF($B$2:$B511,B511),B511:E511),"")</f>
        <v/>
      </c>
      <c r="B511" s="32"/>
      <c r="C511" s="32"/>
      <c r="D511" s="32"/>
      <c r="E511" s="32"/>
      <c r="F511" s="32"/>
      <c r="G511" s="32"/>
      <c r="H511" s="32"/>
      <c r="I511" s="32"/>
      <c r="J511" s="32"/>
      <c r="K511" s="32"/>
      <c r="L511" s="32"/>
      <c r="M511" s="32" t="str">
        <f t="shared" si="8"/>
        <v/>
      </c>
      <c r="N511" s="32"/>
    </row>
    <row r="512" spans="1:14" s="36" customFormat="1" ht="14.1" customHeight="1" x14ac:dyDescent="0.25">
      <c r="A512" s="32" t="str">
        <f>IF(B512&lt;&gt;"",_xlfn.TEXTJOIN("-",1,COUNTIF($B$2:$B512,B512),B512:E512),"")</f>
        <v/>
      </c>
      <c r="B512" s="32"/>
      <c r="C512" s="32"/>
      <c r="D512" s="32"/>
      <c r="E512" s="32"/>
      <c r="F512" s="32"/>
      <c r="G512" s="32"/>
      <c r="H512" s="32"/>
      <c r="I512" s="32"/>
      <c r="J512" s="32"/>
      <c r="K512" s="32"/>
      <c r="L512" s="32"/>
      <c r="M512" s="32" t="str">
        <f t="shared" si="8"/>
        <v/>
      </c>
      <c r="N512" s="32"/>
    </row>
    <row r="513" spans="1:14" s="36" customFormat="1" ht="14.1" customHeight="1" x14ac:dyDescent="0.25">
      <c r="A513" s="32" t="str">
        <f>IF(B513&lt;&gt;"",_xlfn.TEXTJOIN("-",1,COUNTIF($B$2:$B513,B513),B513:E513),"")</f>
        <v/>
      </c>
      <c r="B513" s="32"/>
      <c r="C513" s="32"/>
      <c r="D513" s="32"/>
      <c r="E513" s="32"/>
      <c r="F513" s="32"/>
      <c r="G513" s="32"/>
      <c r="H513" s="32"/>
      <c r="I513" s="32"/>
      <c r="J513" s="32"/>
      <c r="K513" s="32"/>
      <c r="L513" s="32"/>
      <c r="M513" s="32" t="str">
        <f t="shared" si="8"/>
        <v/>
      </c>
      <c r="N513" s="32"/>
    </row>
    <row r="514" spans="1:14" s="36" customFormat="1" ht="14.1" customHeight="1" x14ac:dyDescent="0.25">
      <c r="A514" s="32" t="str">
        <f>IF(B514&lt;&gt;"",_xlfn.TEXTJOIN("-",1,COUNTIF($B$2:$B514,B514),B514:E514),"")</f>
        <v/>
      </c>
      <c r="B514" s="32"/>
      <c r="C514" s="32"/>
      <c r="D514" s="32"/>
      <c r="E514" s="32"/>
      <c r="F514" s="32"/>
      <c r="G514" s="32"/>
      <c r="H514" s="32"/>
      <c r="I514" s="32"/>
      <c r="J514" s="32"/>
      <c r="K514" s="32"/>
      <c r="L514" s="32"/>
      <c r="M514" s="32" t="str">
        <f t="shared" si="8"/>
        <v/>
      </c>
      <c r="N514" s="32"/>
    </row>
    <row r="515" spans="1:14" s="36" customFormat="1" ht="14.1" customHeight="1" x14ac:dyDescent="0.25">
      <c r="A515" s="32" t="str">
        <f>IF(B515&lt;&gt;"",_xlfn.TEXTJOIN("-",1,COUNTIF($B$2:$B515,B515),B515:E515),"")</f>
        <v/>
      </c>
      <c r="B515" s="32"/>
      <c r="C515" s="32"/>
      <c r="D515" s="32"/>
      <c r="E515" s="32"/>
      <c r="F515" s="32"/>
      <c r="G515" s="32"/>
      <c r="H515" s="32"/>
      <c r="I515" s="32"/>
      <c r="J515" s="32"/>
      <c r="K515" s="32"/>
      <c r="L515" s="32"/>
      <c r="M515" s="32" t="str">
        <f t="shared" ref="M515:M578" si="9">IF(B515="FN",_xlfn.CONCAT("egor.v.ivanov+",LEFT(C515,1),"_",LEFT(D515,2),"_",E515,"@outlook.com"),"")</f>
        <v/>
      </c>
      <c r="N515" s="32"/>
    </row>
    <row r="516" spans="1:14" s="36" customFormat="1" ht="14.1" customHeight="1" x14ac:dyDescent="0.25">
      <c r="A516" s="32" t="str">
        <f>IF(B516&lt;&gt;"",_xlfn.TEXTJOIN("-",1,COUNTIF($B$2:$B516,B516),B516:E516),"")</f>
        <v/>
      </c>
      <c r="B516" s="32"/>
      <c r="C516" s="32"/>
      <c r="D516" s="32"/>
      <c r="E516" s="32"/>
      <c r="F516" s="32"/>
      <c r="G516" s="32"/>
      <c r="H516" s="32"/>
      <c r="I516" s="32"/>
      <c r="J516" s="32"/>
      <c r="K516" s="32"/>
      <c r="L516" s="32"/>
      <c r="M516" s="32" t="str">
        <f t="shared" si="9"/>
        <v/>
      </c>
      <c r="N516" s="32"/>
    </row>
    <row r="517" spans="1:14" s="36" customFormat="1" ht="14.1" customHeight="1" x14ac:dyDescent="0.25">
      <c r="A517" s="32" t="str">
        <f>IF(B517&lt;&gt;"",_xlfn.TEXTJOIN("-",1,COUNTIF($B$2:$B517,B517),B517:E517),"")</f>
        <v/>
      </c>
      <c r="B517" s="32"/>
      <c r="C517" s="32"/>
      <c r="D517" s="32"/>
      <c r="E517" s="32"/>
      <c r="F517" s="32"/>
      <c r="G517" s="32"/>
      <c r="H517" s="32"/>
      <c r="I517" s="32"/>
      <c r="J517" s="32"/>
      <c r="K517" s="32"/>
      <c r="L517" s="32"/>
      <c r="M517" s="32" t="str">
        <f t="shared" si="9"/>
        <v/>
      </c>
      <c r="N517" s="32"/>
    </row>
    <row r="518" spans="1:14" s="36" customFormat="1" ht="14.1" customHeight="1" x14ac:dyDescent="0.25">
      <c r="A518" s="32" t="str">
        <f>IF(B518&lt;&gt;"",_xlfn.TEXTJOIN("-",1,COUNTIF($B$2:$B518,B518),B518:E518),"")</f>
        <v/>
      </c>
      <c r="B518" s="32"/>
      <c r="C518" s="32"/>
      <c r="D518" s="32"/>
      <c r="E518" s="32"/>
      <c r="F518" s="32"/>
      <c r="G518" s="32"/>
      <c r="H518" s="32"/>
      <c r="I518" s="32"/>
      <c r="J518" s="32"/>
      <c r="K518" s="32"/>
      <c r="L518" s="32"/>
      <c r="M518" s="32" t="str">
        <f t="shared" si="9"/>
        <v/>
      </c>
      <c r="N518" s="32"/>
    </row>
    <row r="519" spans="1:14" s="36" customFormat="1" ht="14.1" customHeight="1" x14ac:dyDescent="0.25">
      <c r="A519" s="32" t="str">
        <f>IF(B519&lt;&gt;"",_xlfn.TEXTJOIN("-",1,COUNTIF($B$2:$B519,B519),B519:E519),"")</f>
        <v/>
      </c>
      <c r="B519" s="32"/>
      <c r="C519" s="32"/>
      <c r="D519" s="32"/>
      <c r="E519" s="32"/>
      <c r="F519" s="32"/>
      <c r="G519" s="32"/>
      <c r="H519" s="32"/>
      <c r="I519" s="32"/>
      <c r="J519" s="32"/>
      <c r="K519" s="32"/>
      <c r="L519" s="32"/>
      <c r="M519" s="32" t="str">
        <f t="shared" si="9"/>
        <v/>
      </c>
      <c r="N519" s="32"/>
    </row>
    <row r="520" spans="1:14" s="36" customFormat="1" ht="14.1" customHeight="1" x14ac:dyDescent="0.25">
      <c r="A520" s="32" t="str">
        <f>IF(B520&lt;&gt;"",_xlfn.TEXTJOIN("-",1,COUNTIF($B$2:$B520,B520),B520:E520),"")</f>
        <v/>
      </c>
      <c r="B520" s="32"/>
      <c r="C520" s="32"/>
      <c r="D520" s="32"/>
      <c r="E520" s="32"/>
      <c r="F520" s="32"/>
      <c r="G520" s="32"/>
      <c r="H520" s="32"/>
      <c r="I520" s="32"/>
      <c r="J520" s="32"/>
      <c r="K520" s="32"/>
      <c r="L520" s="32"/>
      <c r="M520" s="32" t="str">
        <f t="shared" si="9"/>
        <v/>
      </c>
      <c r="N520" s="32"/>
    </row>
    <row r="521" spans="1:14" s="36" customFormat="1" ht="14.1" customHeight="1" x14ac:dyDescent="0.25">
      <c r="A521" s="32" t="str">
        <f>IF(B521&lt;&gt;"",_xlfn.TEXTJOIN("-",1,COUNTIF($B$2:$B521,B521),B521:E521),"")</f>
        <v/>
      </c>
      <c r="B521" s="32"/>
      <c r="C521" s="32"/>
      <c r="D521" s="32"/>
      <c r="E521" s="32"/>
      <c r="F521" s="32"/>
      <c r="G521" s="32"/>
      <c r="H521" s="32"/>
      <c r="I521" s="32"/>
      <c r="J521" s="32"/>
      <c r="K521" s="32"/>
      <c r="L521" s="32"/>
      <c r="M521" s="32" t="str">
        <f t="shared" si="9"/>
        <v/>
      </c>
      <c r="N521" s="32"/>
    </row>
    <row r="522" spans="1:14" s="36" customFormat="1" ht="14.1" customHeight="1" x14ac:dyDescent="0.25">
      <c r="A522" s="32" t="str">
        <f>IF(B522&lt;&gt;"",_xlfn.TEXTJOIN("-",1,COUNTIF($B$2:$B522,B522),B522:E522),"")</f>
        <v/>
      </c>
      <c r="B522" s="32"/>
      <c r="C522" s="32"/>
      <c r="D522" s="32"/>
      <c r="E522" s="32"/>
      <c r="F522" s="32"/>
      <c r="G522" s="32"/>
      <c r="H522" s="32"/>
      <c r="I522" s="32"/>
      <c r="J522" s="32"/>
      <c r="K522" s="32"/>
      <c r="L522" s="32"/>
      <c r="M522" s="32" t="str">
        <f t="shared" si="9"/>
        <v/>
      </c>
      <c r="N522" s="32"/>
    </row>
    <row r="523" spans="1:14" s="36" customFormat="1" ht="14.1" customHeight="1" x14ac:dyDescent="0.25">
      <c r="A523" s="32" t="str">
        <f>IF(B523&lt;&gt;"",_xlfn.TEXTJOIN("-",1,COUNTIF($B$2:$B523,B523),B523:E523),"")</f>
        <v/>
      </c>
      <c r="B523" s="32"/>
      <c r="C523" s="32"/>
      <c r="D523" s="32"/>
      <c r="E523" s="32"/>
      <c r="F523" s="32"/>
      <c r="G523" s="32"/>
      <c r="H523" s="32"/>
      <c r="I523" s="32"/>
      <c r="J523" s="32"/>
      <c r="K523" s="32"/>
      <c r="L523" s="32"/>
      <c r="M523" s="32" t="str">
        <f t="shared" si="9"/>
        <v/>
      </c>
      <c r="N523" s="32"/>
    </row>
    <row r="524" spans="1:14" s="36" customFormat="1" ht="14.1" customHeight="1" x14ac:dyDescent="0.25">
      <c r="A524" s="32" t="str">
        <f>IF(B524&lt;&gt;"",_xlfn.TEXTJOIN("-",1,COUNTIF($B$2:$B524,B524),B524:E524),"")</f>
        <v/>
      </c>
      <c r="B524" s="32"/>
      <c r="C524" s="32"/>
      <c r="D524" s="32"/>
      <c r="E524" s="32"/>
      <c r="F524" s="32"/>
      <c r="G524" s="32"/>
      <c r="H524" s="32"/>
      <c r="I524" s="32"/>
      <c r="J524" s="32"/>
      <c r="K524" s="32"/>
      <c r="L524" s="32"/>
      <c r="M524" s="32" t="str">
        <f t="shared" si="9"/>
        <v/>
      </c>
      <c r="N524" s="32"/>
    </row>
    <row r="525" spans="1:14" s="36" customFormat="1" ht="14.1" customHeight="1" x14ac:dyDescent="0.25">
      <c r="A525" s="32" t="str">
        <f>IF(B525&lt;&gt;"",_xlfn.TEXTJOIN("-",1,COUNTIF($B$2:$B525,B525),B525:E525),"")</f>
        <v/>
      </c>
      <c r="B525" s="32"/>
      <c r="C525" s="32"/>
      <c r="D525" s="32"/>
      <c r="E525" s="32"/>
      <c r="F525" s="32"/>
      <c r="G525" s="32"/>
      <c r="H525" s="32"/>
      <c r="I525" s="32"/>
      <c r="J525" s="32"/>
      <c r="K525" s="32"/>
      <c r="L525" s="32"/>
      <c r="M525" s="32" t="str">
        <f t="shared" si="9"/>
        <v/>
      </c>
      <c r="N525" s="32"/>
    </row>
    <row r="526" spans="1:14" s="36" customFormat="1" ht="14.1" customHeight="1" x14ac:dyDescent="0.25">
      <c r="A526" s="32" t="str">
        <f>IF(B526&lt;&gt;"",_xlfn.TEXTJOIN("-",1,COUNTIF($B$2:$B526,B526),B526:E526),"")</f>
        <v/>
      </c>
      <c r="B526" s="32"/>
      <c r="C526" s="32"/>
      <c r="D526" s="32"/>
      <c r="E526" s="32"/>
      <c r="F526" s="32"/>
      <c r="G526" s="32"/>
      <c r="H526" s="32"/>
      <c r="I526" s="32"/>
      <c r="J526" s="32"/>
      <c r="K526" s="32"/>
      <c r="L526" s="32"/>
      <c r="M526" s="32" t="str">
        <f t="shared" si="9"/>
        <v/>
      </c>
      <c r="N526" s="32"/>
    </row>
    <row r="527" spans="1:14" s="36" customFormat="1" ht="14.1" customHeight="1" x14ac:dyDescent="0.25">
      <c r="A527" s="32" t="str">
        <f>IF(B527&lt;&gt;"",_xlfn.TEXTJOIN("-",1,COUNTIF($B$2:$B527,B527),B527:E527),"")</f>
        <v/>
      </c>
      <c r="B527" s="32"/>
      <c r="C527" s="32"/>
      <c r="D527" s="32"/>
      <c r="E527" s="32"/>
      <c r="F527" s="32"/>
      <c r="G527" s="32"/>
      <c r="H527" s="32"/>
      <c r="I527" s="32"/>
      <c r="J527" s="32"/>
      <c r="K527" s="32"/>
      <c r="L527" s="32"/>
      <c r="M527" s="32" t="str">
        <f t="shared" si="9"/>
        <v/>
      </c>
      <c r="N527" s="32"/>
    </row>
    <row r="528" spans="1:14" s="36" customFormat="1" ht="14.1" customHeight="1" x14ac:dyDescent="0.25">
      <c r="A528" s="32" t="str">
        <f>IF(B528&lt;&gt;"",_xlfn.TEXTJOIN("-",1,COUNTIF($B$2:$B528,B528),B528:E528),"")</f>
        <v/>
      </c>
      <c r="B528" s="32"/>
      <c r="C528" s="32"/>
      <c r="D528" s="32"/>
      <c r="E528" s="32"/>
      <c r="F528" s="32"/>
      <c r="G528" s="32"/>
      <c r="H528" s="32"/>
      <c r="I528" s="32"/>
      <c r="J528" s="32"/>
      <c r="K528" s="32"/>
      <c r="L528" s="32"/>
      <c r="M528" s="32" t="str">
        <f t="shared" si="9"/>
        <v/>
      </c>
      <c r="N528" s="32"/>
    </row>
    <row r="529" spans="1:14" s="36" customFormat="1" ht="14.1" customHeight="1" x14ac:dyDescent="0.25">
      <c r="A529" s="32" t="str">
        <f>IF(B529&lt;&gt;"",_xlfn.TEXTJOIN("-",1,COUNTIF($B$2:$B529,B529),B529:E529),"")</f>
        <v/>
      </c>
      <c r="B529" s="32"/>
      <c r="C529" s="32"/>
      <c r="D529" s="32"/>
      <c r="E529" s="32"/>
      <c r="F529" s="32"/>
      <c r="G529" s="32"/>
      <c r="H529" s="32"/>
      <c r="I529" s="32"/>
      <c r="J529" s="32"/>
      <c r="K529" s="32"/>
      <c r="L529" s="32"/>
      <c r="M529" s="32" t="str">
        <f t="shared" si="9"/>
        <v/>
      </c>
      <c r="N529" s="32"/>
    </row>
    <row r="530" spans="1:14" s="36" customFormat="1" ht="14.1" customHeight="1" x14ac:dyDescent="0.25">
      <c r="A530" s="32" t="str">
        <f>IF(B530&lt;&gt;"",_xlfn.TEXTJOIN("-",1,COUNTIF($B$2:$B530,B530),B530:E530),"")</f>
        <v/>
      </c>
      <c r="B530" s="32"/>
      <c r="C530" s="32"/>
      <c r="D530" s="32"/>
      <c r="E530" s="32"/>
      <c r="F530" s="32"/>
      <c r="G530" s="32"/>
      <c r="H530" s="32"/>
      <c r="I530" s="32"/>
      <c r="J530" s="32"/>
      <c r="K530" s="32"/>
      <c r="L530" s="32"/>
      <c r="M530" s="32" t="str">
        <f t="shared" si="9"/>
        <v/>
      </c>
      <c r="N530" s="32"/>
    </row>
    <row r="531" spans="1:14" s="36" customFormat="1" ht="14.1" customHeight="1" x14ac:dyDescent="0.25">
      <c r="A531" s="32" t="str">
        <f>IF(B531&lt;&gt;"",_xlfn.TEXTJOIN("-",1,COUNTIF($B$2:$B531,B531),B531:E531),"")</f>
        <v/>
      </c>
      <c r="B531" s="32"/>
      <c r="C531" s="32"/>
      <c r="D531" s="32"/>
      <c r="E531" s="32"/>
      <c r="F531" s="32"/>
      <c r="G531" s="32"/>
      <c r="H531" s="32"/>
      <c r="I531" s="32"/>
      <c r="J531" s="32"/>
      <c r="K531" s="32"/>
      <c r="L531" s="32"/>
      <c r="M531" s="32" t="str">
        <f t="shared" si="9"/>
        <v/>
      </c>
      <c r="N531" s="32"/>
    </row>
    <row r="532" spans="1:14" s="36" customFormat="1" ht="14.1" customHeight="1" x14ac:dyDescent="0.25">
      <c r="A532" s="32" t="str">
        <f>IF(B532&lt;&gt;"",_xlfn.TEXTJOIN("-",1,COUNTIF($B$2:$B532,B532),B532:E532),"")</f>
        <v/>
      </c>
      <c r="B532" s="32"/>
      <c r="C532" s="32"/>
      <c r="D532" s="32"/>
      <c r="E532" s="32"/>
      <c r="F532" s="32"/>
      <c r="G532" s="32"/>
      <c r="H532" s="32"/>
      <c r="I532" s="32"/>
      <c r="J532" s="32"/>
      <c r="K532" s="32"/>
      <c r="L532" s="32"/>
      <c r="M532" s="32" t="str">
        <f t="shared" si="9"/>
        <v/>
      </c>
      <c r="N532" s="32"/>
    </row>
    <row r="533" spans="1:14" s="36" customFormat="1" ht="14.1" customHeight="1" x14ac:dyDescent="0.25">
      <c r="A533" s="32" t="str">
        <f>IF(B533&lt;&gt;"",_xlfn.TEXTJOIN("-",1,COUNTIF($B$2:$B533,B533),B533:E533),"")</f>
        <v/>
      </c>
      <c r="B533" s="32"/>
      <c r="C533" s="32"/>
      <c r="D533" s="32"/>
      <c r="E533" s="32"/>
      <c r="F533" s="32"/>
      <c r="G533" s="32"/>
      <c r="H533" s="32"/>
      <c r="I533" s="32"/>
      <c r="J533" s="32"/>
      <c r="K533" s="32"/>
      <c r="L533" s="32"/>
      <c r="M533" s="32" t="str">
        <f t="shared" si="9"/>
        <v/>
      </c>
      <c r="N533" s="32"/>
    </row>
    <row r="534" spans="1:14" s="36" customFormat="1" ht="14.1" customHeight="1" x14ac:dyDescent="0.25">
      <c r="A534" s="32" t="str">
        <f>IF(B534&lt;&gt;"",_xlfn.TEXTJOIN("-",1,COUNTIF($B$2:$B534,B534),B534:E534),"")</f>
        <v/>
      </c>
      <c r="B534" s="32"/>
      <c r="C534" s="32"/>
      <c r="D534" s="32"/>
      <c r="E534" s="32"/>
      <c r="F534" s="32"/>
      <c r="G534" s="32"/>
      <c r="H534" s="32"/>
      <c r="I534" s="32"/>
      <c r="J534" s="32"/>
      <c r="K534" s="32"/>
      <c r="L534" s="32"/>
      <c r="M534" s="32" t="str">
        <f t="shared" si="9"/>
        <v/>
      </c>
      <c r="N534" s="32"/>
    </row>
    <row r="535" spans="1:14" s="36" customFormat="1" ht="14.1" customHeight="1" x14ac:dyDescent="0.25">
      <c r="A535" s="32" t="str">
        <f>IF(B535&lt;&gt;"",_xlfn.TEXTJOIN("-",1,COUNTIF($B$2:$B535,B535),B535:E535),"")</f>
        <v/>
      </c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2" t="str">
        <f t="shared" si="9"/>
        <v/>
      </c>
      <c r="N535" s="32"/>
    </row>
    <row r="536" spans="1:14" s="36" customFormat="1" ht="14.1" customHeight="1" x14ac:dyDescent="0.25">
      <c r="A536" s="32" t="str">
        <f>IF(B536&lt;&gt;"",_xlfn.TEXTJOIN("-",1,COUNTIF($B$2:$B536,B536),B536:E536),"")</f>
        <v/>
      </c>
      <c r="B536" s="32"/>
      <c r="C536" s="32"/>
      <c r="D536" s="32"/>
      <c r="E536" s="32"/>
      <c r="F536" s="32"/>
      <c r="G536" s="32"/>
      <c r="H536" s="32"/>
      <c r="I536" s="32"/>
      <c r="J536" s="32"/>
      <c r="K536" s="32"/>
      <c r="L536" s="32"/>
      <c r="M536" s="32" t="str">
        <f t="shared" si="9"/>
        <v/>
      </c>
      <c r="N536" s="32"/>
    </row>
    <row r="537" spans="1:14" s="36" customFormat="1" ht="14.1" customHeight="1" x14ac:dyDescent="0.25">
      <c r="A537" s="32" t="str">
        <f>IF(B537&lt;&gt;"",_xlfn.TEXTJOIN("-",1,COUNTIF($B$2:$B537,B537),B537:E537),"")</f>
        <v/>
      </c>
      <c r="B537" s="32"/>
      <c r="C537" s="32"/>
      <c r="D537" s="32"/>
      <c r="E537" s="32"/>
      <c r="F537" s="32"/>
      <c r="G537" s="32"/>
      <c r="H537" s="32"/>
      <c r="I537" s="32"/>
      <c r="J537" s="32"/>
      <c r="K537" s="32"/>
      <c r="L537" s="32"/>
      <c r="M537" s="32" t="str">
        <f t="shared" si="9"/>
        <v/>
      </c>
      <c r="N537" s="32"/>
    </row>
    <row r="538" spans="1:14" s="36" customFormat="1" ht="14.1" customHeight="1" x14ac:dyDescent="0.25">
      <c r="A538" s="32" t="str">
        <f>IF(B538&lt;&gt;"",_xlfn.TEXTJOIN("-",1,COUNTIF($B$2:$B538,B538),B538:E538),"")</f>
        <v/>
      </c>
      <c r="B538" s="32"/>
      <c r="C538" s="32"/>
      <c r="D538" s="32"/>
      <c r="E538" s="32"/>
      <c r="F538" s="32"/>
      <c r="G538" s="32"/>
      <c r="H538" s="32"/>
      <c r="I538" s="32"/>
      <c r="J538" s="32"/>
      <c r="K538" s="32"/>
      <c r="L538" s="32"/>
      <c r="M538" s="32" t="str">
        <f t="shared" si="9"/>
        <v/>
      </c>
      <c r="N538" s="32"/>
    </row>
    <row r="539" spans="1:14" s="36" customFormat="1" ht="14.1" customHeight="1" x14ac:dyDescent="0.25">
      <c r="A539" s="32" t="str">
        <f>IF(B539&lt;&gt;"",_xlfn.TEXTJOIN("-",1,COUNTIF($B$2:$B539,B539),B539:E539),"")</f>
        <v/>
      </c>
      <c r="B539" s="32"/>
      <c r="C539" s="32"/>
      <c r="D539" s="32"/>
      <c r="E539" s="32"/>
      <c r="F539" s="32"/>
      <c r="G539" s="32"/>
      <c r="H539" s="32"/>
      <c r="I539" s="32"/>
      <c r="J539" s="32"/>
      <c r="K539" s="32"/>
      <c r="L539" s="32"/>
      <c r="M539" s="32" t="str">
        <f t="shared" si="9"/>
        <v/>
      </c>
      <c r="N539" s="32"/>
    </row>
    <row r="540" spans="1:14" s="36" customFormat="1" ht="14.1" customHeight="1" x14ac:dyDescent="0.25">
      <c r="A540" s="32" t="str">
        <f>IF(B540&lt;&gt;"",_xlfn.TEXTJOIN("-",1,COUNTIF($B$2:$B540,B540),B540:E540),"")</f>
        <v/>
      </c>
      <c r="B540" s="32"/>
      <c r="C540" s="32"/>
      <c r="D540" s="32"/>
      <c r="E540" s="32"/>
      <c r="F540" s="32"/>
      <c r="G540" s="32"/>
      <c r="H540" s="32"/>
      <c r="I540" s="32"/>
      <c r="J540" s="32"/>
      <c r="K540" s="32"/>
      <c r="L540" s="32"/>
      <c r="M540" s="32" t="str">
        <f t="shared" si="9"/>
        <v/>
      </c>
      <c r="N540" s="32"/>
    </row>
    <row r="541" spans="1:14" s="36" customFormat="1" ht="14.1" customHeight="1" x14ac:dyDescent="0.25">
      <c r="A541" s="32" t="str">
        <f>IF(B541&lt;&gt;"",_xlfn.TEXTJOIN("-",1,COUNTIF($B$2:$B541,B541),B541:E541),"")</f>
        <v/>
      </c>
      <c r="B541" s="32"/>
      <c r="C541" s="32"/>
      <c r="D541" s="32"/>
      <c r="E541" s="32"/>
      <c r="F541" s="32"/>
      <c r="G541" s="32"/>
      <c r="H541" s="32"/>
      <c r="I541" s="32"/>
      <c r="J541" s="32"/>
      <c r="K541" s="32"/>
      <c r="L541" s="32"/>
      <c r="M541" s="32" t="str">
        <f t="shared" si="9"/>
        <v/>
      </c>
      <c r="N541" s="32"/>
    </row>
    <row r="542" spans="1:14" s="36" customFormat="1" ht="14.1" customHeight="1" x14ac:dyDescent="0.25">
      <c r="A542" s="32" t="str">
        <f>IF(B542&lt;&gt;"",_xlfn.TEXTJOIN("-",1,COUNTIF($B$2:$B542,B542),B542:E542),"")</f>
        <v/>
      </c>
      <c r="B542" s="32"/>
      <c r="C542" s="32"/>
      <c r="D542" s="32"/>
      <c r="E542" s="32"/>
      <c r="F542" s="32"/>
      <c r="G542" s="32"/>
      <c r="H542" s="32"/>
      <c r="I542" s="32"/>
      <c r="J542" s="32"/>
      <c r="K542" s="32"/>
      <c r="L542" s="32"/>
      <c r="M542" s="32" t="str">
        <f t="shared" si="9"/>
        <v/>
      </c>
      <c r="N542" s="32"/>
    </row>
    <row r="543" spans="1:14" s="36" customFormat="1" ht="14.1" customHeight="1" x14ac:dyDescent="0.25">
      <c r="A543" s="32" t="str">
        <f>IF(B543&lt;&gt;"",_xlfn.TEXTJOIN("-",1,COUNTIF($B$2:$B543,B543),B543:E543),"")</f>
        <v/>
      </c>
      <c r="B543" s="32"/>
      <c r="C543" s="32"/>
      <c r="D543" s="32"/>
      <c r="E543" s="32"/>
      <c r="F543" s="32"/>
      <c r="G543" s="32"/>
      <c r="H543" s="32"/>
      <c r="I543" s="32"/>
      <c r="J543" s="32"/>
      <c r="K543" s="32"/>
      <c r="L543" s="32"/>
      <c r="M543" s="32" t="str">
        <f t="shared" si="9"/>
        <v/>
      </c>
      <c r="N543" s="32"/>
    </row>
    <row r="544" spans="1:14" s="36" customFormat="1" ht="14.1" customHeight="1" x14ac:dyDescent="0.25">
      <c r="A544" s="32" t="str">
        <f>IF(B544&lt;&gt;"",_xlfn.TEXTJOIN("-",1,COUNTIF($B$2:$B544,B544),B544:E544),"")</f>
        <v/>
      </c>
      <c r="B544" s="32"/>
      <c r="C544" s="32"/>
      <c r="D544" s="32"/>
      <c r="E544" s="32"/>
      <c r="F544" s="32"/>
      <c r="G544" s="32"/>
      <c r="H544" s="32"/>
      <c r="I544" s="32"/>
      <c r="J544" s="32"/>
      <c r="K544" s="32"/>
      <c r="L544" s="32"/>
      <c r="M544" s="32" t="str">
        <f t="shared" si="9"/>
        <v/>
      </c>
      <c r="N544" s="32"/>
    </row>
    <row r="545" spans="1:14" s="36" customFormat="1" ht="14.1" customHeight="1" x14ac:dyDescent="0.25">
      <c r="A545" s="32" t="str">
        <f>IF(B545&lt;&gt;"",_xlfn.TEXTJOIN("-",1,COUNTIF($B$2:$B545,B545),B545:E545),"")</f>
        <v/>
      </c>
      <c r="B545" s="32"/>
      <c r="C545" s="32"/>
      <c r="D545" s="32"/>
      <c r="E545" s="32"/>
      <c r="F545" s="32"/>
      <c r="G545" s="32"/>
      <c r="H545" s="32"/>
      <c r="I545" s="32"/>
      <c r="J545" s="32"/>
      <c r="K545" s="32"/>
      <c r="L545" s="32"/>
      <c r="M545" s="32" t="str">
        <f t="shared" si="9"/>
        <v/>
      </c>
      <c r="N545" s="32"/>
    </row>
    <row r="546" spans="1:14" s="36" customFormat="1" ht="14.1" customHeight="1" x14ac:dyDescent="0.25">
      <c r="A546" s="32" t="str">
        <f>IF(B546&lt;&gt;"",_xlfn.TEXTJOIN("-",1,COUNTIF($B$2:$B546,B546),B546:E546),"")</f>
        <v/>
      </c>
      <c r="B546" s="32"/>
      <c r="C546" s="32"/>
      <c r="D546" s="32"/>
      <c r="E546" s="32"/>
      <c r="F546" s="32"/>
      <c r="G546" s="32"/>
      <c r="H546" s="32"/>
      <c r="I546" s="32"/>
      <c r="J546" s="32"/>
      <c r="K546" s="32"/>
      <c r="L546" s="32"/>
      <c r="M546" s="32" t="str">
        <f t="shared" si="9"/>
        <v/>
      </c>
      <c r="N546" s="32"/>
    </row>
    <row r="547" spans="1:14" s="36" customFormat="1" ht="14.1" customHeight="1" x14ac:dyDescent="0.25">
      <c r="A547" s="32" t="str">
        <f>IF(B547&lt;&gt;"",_xlfn.TEXTJOIN("-",1,COUNTIF($B$2:$B547,B547),B547:E547),"")</f>
        <v/>
      </c>
      <c r="B547" s="32"/>
      <c r="C547" s="32"/>
      <c r="D547" s="32"/>
      <c r="E547" s="32"/>
      <c r="F547" s="32"/>
      <c r="G547" s="32"/>
      <c r="H547" s="32"/>
      <c r="I547" s="32"/>
      <c r="J547" s="32"/>
      <c r="K547" s="32"/>
      <c r="L547" s="32"/>
      <c r="M547" s="32" t="str">
        <f t="shared" si="9"/>
        <v/>
      </c>
      <c r="N547" s="32"/>
    </row>
    <row r="548" spans="1:14" s="36" customFormat="1" ht="14.1" customHeight="1" x14ac:dyDescent="0.25">
      <c r="A548" s="32" t="str">
        <f>IF(B548&lt;&gt;"",_xlfn.TEXTJOIN("-",1,COUNTIF($B$2:$B548,B548),B548:E548),"")</f>
        <v/>
      </c>
      <c r="B548" s="32"/>
      <c r="C548" s="32"/>
      <c r="D548" s="32"/>
      <c r="E548" s="32"/>
      <c r="F548" s="32"/>
      <c r="G548" s="32"/>
      <c r="H548" s="32"/>
      <c r="I548" s="32"/>
      <c r="J548" s="32"/>
      <c r="K548" s="32"/>
      <c r="L548" s="32"/>
      <c r="M548" s="32" t="str">
        <f t="shared" si="9"/>
        <v/>
      </c>
      <c r="N548" s="32"/>
    </row>
    <row r="549" spans="1:14" s="36" customFormat="1" ht="14.1" customHeight="1" x14ac:dyDescent="0.25">
      <c r="A549" s="32" t="str">
        <f>IF(B549&lt;&gt;"",_xlfn.TEXTJOIN("-",1,COUNTIF($B$2:$B549,B549),B549:E549),"")</f>
        <v/>
      </c>
      <c r="B549" s="32"/>
      <c r="C549" s="32"/>
      <c r="D549" s="32"/>
      <c r="E549" s="32"/>
      <c r="F549" s="32"/>
      <c r="G549" s="32"/>
      <c r="H549" s="32"/>
      <c r="I549" s="32"/>
      <c r="J549" s="32"/>
      <c r="K549" s="32"/>
      <c r="L549" s="32"/>
      <c r="M549" s="32" t="str">
        <f t="shared" si="9"/>
        <v/>
      </c>
      <c r="N549" s="32"/>
    </row>
    <row r="550" spans="1:14" s="36" customFormat="1" ht="14.1" customHeight="1" x14ac:dyDescent="0.25">
      <c r="A550" s="32" t="str">
        <f>IF(B550&lt;&gt;"",_xlfn.TEXTJOIN("-",1,COUNTIF($B$2:$B550,B550),B550:E550),"")</f>
        <v/>
      </c>
      <c r="B550" s="32"/>
      <c r="C550" s="32"/>
      <c r="D550" s="32"/>
      <c r="E550" s="32"/>
      <c r="F550" s="32"/>
      <c r="G550" s="32"/>
      <c r="H550" s="32"/>
      <c r="I550" s="32"/>
      <c r="J550" s="32"/>
      <c r="K550" s="32"/>
      <c r="L550" s="32"/>
      <c r="M550" s="32" t="str">
        <f t="shared" si="9"/>
        <v/>
      </c>
      <c r="N550" s="32"/>
    </row>
    <row r="551" spans="1:14" s="36" customFormat="1" ht="14.1" customHeight="1" x14ac:dyDescent="0.25">
      <c r="A551" s="32" t="str">
        <f>IF(B551&lt;&gt;"",_xlfn.TEXTJOIN("-",1,COUNTIF($B$2:$B551,B551),B551:E551),"")</f>
        <v/>
      </c>
      <c r="B551" s="32"/>
      <c r="C551" s="32"/>
      <c r="D551" s="32"/>
      <c r="E551" s="32"/>
      <c r="F551" s="32"/>
      <c r="G551" s="32"/>
      <c r="H551" s="32"/>
      <c r="I551" s="32"/>
      <c r="J551" s="32"/>
      <c r="K551" s="32"/>
      <c r="L551" s="32"/>
      <c r="M551" s="32" t="str">
        <f t="shared" si="9"/>
        <v/>
      </c>
      <c r="N551" s="32"/>
    </row>
    <row r="552" spans="1:14" s="36" customFormat="1" ht="14.1" customHeight="1" x14ac:dyDescent="0.25">
      <c r="A552" s="32" t="str">
        <f>IF(B552&lt;&gt;"",_xlfn.TEXTJOIN("-",1,COUNTIF($B$2:$B552,B552),B552:E552),"")</f>
        <v/>
      </c>
      <c r="B552" s="32"/>
      <c r="C552" s="32"/>
      <c r="D552" s="32"/>
      <c r="E552" s="32"/>
      <c r="F552" s="32"/>
      <c r="G552" s="32"/>
      <c r="H552" s="32"/>
      <c r="I552" s="32"/>
      <c r="J552" s="32"/>
      <c r="K552" s="32"/>
      <c r="L552" s="32"/>
      <c r="M552" s="32" t="str">
        <f t="shared" si="9"/>
        <v/>
      </c>
      <c r="N552" s="32"/>
    </row>
    <row r="553" spans="1:14" s="36" customFormat="1" ht="14.1" customHeight="1" x14ac:dyDescent="0.25">
      <c r="A553" s="32" t="str">
        <f>IF(B553&lt;&gt;"",_xlfn.TEXTJOIN("-",1,COUNTIF($B$2:$B553,B553),B553:E553),"")</f>
        <v/>
      </c>
      <c r="B553" s="32"/>
      <c r="C553" s="32"/>
      <c r="D553" s="32"/>
      <c r="E553" s="32"/>
      <c r="F553" s="32"/>
      <c r="G553" s="32"/>
      <c r="H553" s="32"/>
      <c r="I553" s="32"/>
      <c r="J553" s="32"/>
      <c r="K553" s="32"/>
      <c r="L553" s="32"/>
      <c r="M553" s="32" t="str">
        <f t="shared" si="9"/>
        <v/>
      </c>
      <c r="N553" s="32"/>
    </row>
    <row r="554" spans="1:14" s="36" customFormat="1" ht="14.1" customHeight="1" x14ac:dyDescent="0.25">
      <c r="A554" s="32" t="str">
        <f>IF(B554&lt;&gt;"",_xlfn.TEXTJOIN("-",1,COUNTIF($B$2:$B554,B554),B554:E554),"")</f>
        <v/>
      </c>
      <c r="B554" s="32"/>
      <c r="C554" s="32"/>
      <c r="D554" s="32"/>
      <c r="E554" s="32"/>
      <c r="F554" s="32"/>
      <c r="G554" s="32"/>
      <c r="H554" s="32"/>
      <c r="I554" s="32"/>
      <c r="J554" s="32"/>
      <c r="K554" s="32"/>
      <c r="L554" s="32"/>
      <c r="M554" s="32" t="str">
        <f t="shared" si="9"/>
        <v/>
      </c>
      <c r="N554" s="32"/>
    </row>
    <row r="555" spans="1:14" s="36" customFormat="1" ht="14.1" customHeight="1" x14ac:dyDescent="0.25">
      <c r="A555" s="32" t="str">
        <f>IF(B555&lt;&gt;"",_xlfn.TEXTJOIN("-",1,COUNTIF($B$2:$B555,B555),B555:E555),"")</f>
        <v/>
      </c>
      <c r="B555" s="32"/>
      <c r="C555" s="32"/>
      <c r="D555" s="32"/>
      <c r="E555" s="32"/>
      <c r="F555" s="32"/>
      <c r="G555" s="32"/>
      <c r="H555" s="32"/>
      <c r="I555" s="32"/>
      <c r="J555" s="32"/>
      <c r="K555" s="32"/>
      <c r="L555" s="32"/>
      <c r="M555" s="32" t="str">
        <f t="shared" si="9"/>
        <v/>
      </c>
      <c r="N555" s="32"/>
    </row>
    <row r="556" spans="1:14" s="36" customFormat="1" ht="14.1" customHeight="1" x14ac:dyDescent="0.25">
      <c r="A556" s="32" t="str">
        <f>IF(B556&lt;&gt;"",_xlfn.TEXTJOIN("-",1,COUNTIF($B$2:$B556,B556),B556:E556),"")</f>
        <v/>
      </c>
      <c r="B556" s="32"/>
      <c r="C556" s="32"/>
      <c r="D556" s="32"/>
      <c r="E556" s="32"/>
      <c r="F556" s="32"/>
      <c r="G556" s="32"/>
      <c r="H556" s="32"/>
      <c r="I556" s="32"/>
      <c r="J556" s="32"/>
      <c r="K556" s="32"/>
      <c r="L556" s="32"/>
      <c r="M556" s="32" t="str">
        <f t="shared" si="9"/>
        <v/>
      </c>
      <c r="N556" s="32"/>
    </row>
    <row r="557" spans="1:14" s="36" customFormat="1" ht="14.1" customHeight="1" x14ac:dyDescent="0.25">
      <c r="A557" s="32" t="str">
        <f>IF(B557&lt;&gt;"",_xlfn.TEXTJOIN("-",1,COUNTIF($B$2:$B557,B557),B557:E557),"")</f>
        <v/>
      </c>
      <c r="B557" s="32"/>
      <c r="C557" s="32"/>
      <c r="D557" s="32"/>
      <c r="E557" s="32"/>
      <c r="F557" s="32"/>
      <c r="G557" s="32"/>
      <c r="H557" s="32"/>
      <c r="I557" s="32"/>
      <c r="J557" s="32"/>
      <c r="K557" s="32"/>
      <c r="L557" s="32"/>
      <c r="M557" s="32" t="str">
        <f t="shared" si="9"/>
        <v/>
      </c>
      <c r="N557" s="32"/>
    </row>
    <row r="558" spans="1:14" s="36" customFormat="1" ht="14.1" customHeight="1" x14ac:dyDescent="0.25">
      <c r="A558" s="32" t="str">
        <f>IF(B558&lt;&gt;"",_xlfn.TEXTJOIN("-",1,COUNTIF($B$2:$B558,B558),B558:E558),"")</f>
        <v/>
      </c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2" t="str">
        <f t="shared" si="9"/>
        <v/>
      </c>
      <c r="N558" s="32"/>
    </row>
    <row r="559" spans="1:14" s="36" customFormat="1" ht="14.1" customHeight="1" x14ac:dyDescent="0.25">
      <c r="A559" s="32" t="str">
        <f>IF(B559&lt;&gt;"",_xlfn.TEXTJOIN("-",1,COUNTIF($B$2:$B559,B559),B559:E559),"")</f>
        <v/>
      </c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2" t="str">
        <f t="shared" si="9"/>
        <v/>
      </c>
      <c r="N559" s="32"/>
    </row>
    <row r="560" spans="1:14" s="36" customFormat="1" ht="14.1" customHeight="1" x14ac:dyDescent="0.25">
      <c r="A560" s="32" t="str">
        <f>IF(B560&lt;&gt;"",_xlfn.TEXTJOIN("-",1,COUNTIF($B$2:$B560,B560),B560:E560),"")</f>
        <v/>
      </c>
      <c r="B560" s="32"/>
      <c r="C560" s="32"/>
      <c r="D560" s="32"/>
      <c r="E560" s="32"/>
      <c r="F560" s="32"/>
      <c r="G560" s="32"/>
      <c r="H560" s="32"/>
      <c r="I560" s="32"/>
      <c r="J560" s="32"/>
      <c r="K560" s="32"/>
      <c r="L560" s="32"/>
      <c r="M560" s="32" t="str">
        <f t="shared" si="9"/>
        <v/>
      </c>
      <c r="N560" s="32"/>
    </row>
    <row r="561" spans="1:14" s="36" customFormat="1" ht="14.1" customHeight="1" x14ac:dyDescent="0.25">
      <c r="A561" s="32" t="str">
        <f>IF(B561&lt;&gt;"",_xlfn.TEXTJOIN("-",1,COUNTIF($B$2:$B561,B561),B561:E561),"")</f>
        <v/>
      </c>
      <c r="B561" s="32"/>
      <c r="C561" s="32"/>
      <c r="D561" s="32"/>
      <c r="E561" s="32"/>
      <c r="F561" s="32"/>
      <c r="G561" s="32"/>
      <c r="H561" s="32"/>
      <c r="I561" s="32"/>
      <c r="J561" s="32"/>
      <c r="K561" s="32"/>
      <c r="L561" s="32"/>
      <c r="M561" s="32" t="str">
        <f t="shared" si="9"/>
        <v/>
      </c>
      <c r="N561" s="32"/>
    </row>
    <row r="562" spans="1:14" s="36" customFormat="1" ht="14.1" customHeight="1" x14ac:dyDescent="0.25">
      <c r="A562" s="32" t="str">
        <f>IF(B562&lt;&gt;"",_xlfn.TEXTJOIN("-",1,COUNTIF($B$2:$B562,B562),B562:E562),"")</f>
        <v/>
      </c>
      <c r="B562" s="32"/>
      <c r="C562" s="32"/>
      <c r="D562" s="32"/>
      <c r="E562" s="32"/>
      <c r="F562" s="32"/>
      <c r="G562" s="32"/>
      <c r="H562" s="32"/>
      <c r="I562" s="32"/>
      <c r="J562" s="32"/>
      <c r="K562" s="32"/>
      <c r="L562" s="32"/>
      <c r="M562" s="32" t="str">
        <f t="shared" si="9"/>
        <v/>
      </c>
      <c r="N562" s="32"/>
    </row>
    <row r="563" spans="1:14" s="36" customFormat="1" ht="14.1" customHeight="1" x14ac:dyDescent="0.25">
      <c r="A563" s="32" t="str">
        <f>IF(B563&lt;&gt;"",_xlfn.TEXTJOIN("-",1,COUNTIF($B$2:$B563,B563),B563:E563),"")</f>
        <v/>
      </c>
      <c r="B563" s="32"/>
      <c r="C563" s="32"/>
      <c r="D563" s="32"/>
      <c r="E563" s="32"/>
      <c r="F563" s="32"/>
      <c r="G563" s="32"/>
      <c r="H563" s="32"/>
      <c r="I563" s="32"/>
      <c r="J563" s="32"/>
      <c r="K563" s="32"/>
      <c r="L563" s="32"/>
      <c r="M563" s="32" t="str">
        <f t="shared" si="9"/>
        <v/>
      </c>
      <c r="N563" s="32"/>
    </row>
    <row r="564" spans="1:14" s="36" customFormat="1" ht="14.1" customHeight="1" x14ac:dyDescent="0.25">
      <c r="A564" s="32" t="str">
        <f>IF(B564&lt;&gt;"",_xlfn.TEXTJOIN("-",1,COUNTIF($B$2:$B564,B564),B564:E564),"")</f>
        <v/>
      </c>
      <c r="B564" s="32"/>
      <c r="C564" s="32"/>
      <c r="D564" s="32"/>
      <c r="E564" s="32"/>
      <c r="F564" s="32"/>
      <c r="G564" s="32"/>
      <c r="H564" s="32"/>
      <c r="I564" s="32"/>
      <c r="J564" s="32"/>
      <c r="K564" s="32"/>
      <c r="L564" s="32"/>
      <c r="M564" s="32" t="str">
        <f t="shared" si="9"/>
        <v/>
      </c>
      <c r="N564" s="32"/>
    </row>
    <row r="565" spans="1:14" s="36" customFormat="1" ht="14.1" customHeight="1" x14ac:dyDescent="0.25">
      <c r="A565" s="32" t="str">
        <f>IF(B565&lt;&gt;"",_xlfn.TEXTJOIN("-",1,COUNTIF($B$2:$B565,B565),B565:E565),"")</f>
        <v/>
      </c>
      <c r="B565" s="32"/>
      <c r="C565" s="32"/>
      <c r="D565" s="32"/>
      <c r="E565" s="32"/>
      <c r="F565" s="32"/>
      <c r="G565" s="32"/>
      <c r="H565" s="32"/>
      <c r="I565" s="32"/>
      <c r="J565" s="32"/>
      <c r="K565" s="32"/>
      <c r="L565" s="32"/>
      <c r="M565" s="32" t="str">
        <f t="shared" si="9"/>
        <v/>
      </c>
      <c r="N565" s="32"/>
    </row>
    <row r="566" spans="1:14" s="36" customFormat="1" ht="14.1" customHeight="1" x14ac:dyDescent="0.25">
      <c r="A566" s="32" t="str">
        <f>IF(B566&lt;&gt;"",_xlfn.TEXTJOIN("-",1,COUNTIF($B$2:$B566,B566),B566:E566),"")</f>
        <v/>
      </c>
      <c r="B566" s="32"/>
      <c r="C566" s="32"/>
      <c r="D566" s="32"/>
      <c r="E566" s="32"/>
      <c r="F566" s="32"/>
      <c r="G566" s="32"/>
      <c r="H566" s="32"/>
      <c r="I566" s="32"/>
      <c r="J566" s="32"/>
      <c r="K566" s="32"/>
      <c r="L566" s="32"/>
      <c r="M566" s="32" t="str">
        <f t="shared" si="9"/>
        <v/>
      </c>
      <c r="N566" s="32"/>
    </row>
    <row r="567" spans="1:14" s="36" customFormat="1" ht="14.1" customHeight="1" x14ac:dyDescent="0.25">
      <c r="A567" s="32" t="str">
        <f>IF(B567&lt;&gt;"",_xlfn.TEXTJOIN("-",1,COUNTIF($B$2:$B567,B567),B567:E567),"")</f>
        <v/>
      </c>
      <c r="B567" s="32"/>
      <c r="C567" s="32"/>
      <c r="D567" s="32"/>
      <c r="E567" s="32"/>
      <c r="F567" s="32"/>
      <c r="G567" s="32"/>
      <c r="H567" s="32"/>
      <c r="I567" s="32"/>
      <c r="J567" s="32"/>
      <c r="K567" s="32"/>
      <c r="L567" s="32"/>
      <c r="M567" s="32" t="str">
        <f t="shared" si="9"/>
        <v/>
      </c>
      <c r="N567" s="32"/>
    </row>
    <row r="568" spans="1:14" s="36" customFormat="1" ht="14.1" customHeight="1" x14ac:dyDescent="0.25">
      <c r="A568" s="32" t="str">
        <f>IF(B568&lt;&gt;"",_xlfn.TEXTJOIN("-",1,COUNTIF($B$2:$B568,B568),B568:E568),"")</f>
        <v/>
      </c>
      <c r="B568" s="32"/>
      <c r="C568" s="32"/>
      <c r="D568" s="32"/>
      <c r="E568" s="32"/>
      <c r="F568" s="32"/>
      <c r="G568" s="32"/>
      <c r="H568" s="32"/>
      <c r="I568" s="32"/>
      <c r="J568" s="32"/>
      <c r="K568" s="32"/>
      <c r="L568" s="32"/>
      <c r="M568" s="32" t="str">
        <f t="shared" si="9"/>
        <v/>
      </c>
      <c r="N568" s="32"/>
    </row>
    <row r="569" spans="1:14" s="36" customFormat="1" ht="14.1" customHeight="1" x14ac:dyDescent="0.25">
      <c r="A569" s="32" t="str">
        <f>IF(B569&lt;&gt;"",_xlfn.TEXTJOIN("-",1,COUNTIF($B$2:$B569,B569),B569:E569),"")</f>
        <v/>
      </c>
      <c r="B569" s="32"/>
      <c r="C569" s="32"/>
      <c r="D569" s="32"/>
      <c r="E569" s="32"/>
      <c r="F569" s="32"/>
      <c r="G569" s="32"/>
      <c r="H569" s="32"/>
      <c r="I569" s="32"/>
      <c r="J569" s="32"/>
      <c r="K569" s="32"/>
      <c r="L569" s="32"/>
      <c r="M569" s="32" t="str">
        <f t="shared" si="9"/>
        <v/>
      </c>
      <c r="N569" s="32"/>
    </row>
    <row r="570" spans="1:14" s="36" customFormat="1" ht="14.1" customHeight="1" x14ac:dyDescent="0.25">
      <c r="A570" s="32" t="str">
        <f>IF(B570&lt;&gt;"",_xlfn.TEXTJOIN("-",1,COUNTIF($B$2:$B570,B570),B570:E570),"")</f>
        <v/>
      </c>
      <c r="B570" s="32"/>
      <c r="C570" s="32"/>
      <c r="D570" s="32"/>
      <c r="E570" s="32"/>
      <c r="F570" s="32"/>
      <c r="G570" s="32"/>
      <c r="H570" s="32"/>
      <c r="I570" s="32"/>
      <c r="J570" s="32"/>
      <c r="K570" s="32"/>
      <c r="L570" s="32"/>
      <c r="M570" s="32" t="str">
        <f t="shared" si="9"/>
        <v/>
      </c>
      <c r="N570" s="32"/>
    </row>
    <row r="571" spans="1:14" s="36" customFormat="1" ht="14.1" customHeight="1" x14ac:dyDescent="0.25">
      <c r="A571" s="32" t="str">
        <f>IF(B571&lt;&gt;"",_xlfn.TEXTJOIN("-",1,COUNTIF($B$2:$B571,B571),B571:E571),"")</f>
        <v/>
      </c>
      <c r="B571" s="32"/>
      <c r="C571" s="32"/>
      <c r="D571" s="32"/>
      <c r="E571" s="32"/>
      <c r="F571" s="32"/>
      <c r="G571" s="32"/>
      <c r="H571" s="32"/>
      <c r="I571" s="32"/>
      <c r="J571" s="32"/>
      <c r="K571" s="32"/>
      <c r="L571" s="32"/>
      <c r="M571" s="32" t="str">
        <f t="shared" si="9"/>
        <v/>
      </c>
      <c r="N571" s="32"/>
    </row>
    <row r="572" spans="1:14" s="36" customFormat="1" ht="14.1" customHeight="1" x14ac:dyDescent="0.25">
      <c r="A572" s="32" t="str">
        <f>IF(B572&lt;&gt;"",_xlfn.TEXTJOIN("-",1,COUNTIF($B$2:$B572,B572),B572:E572),"")</f>
        <v/>
      </c>
      <c r="B572" s="32"/>
      <c r="C572" s="32"/>
      <c r="D572" s="32"/>
      <c r="E572" s="32"/>
      <c r="F572" s="32"/>
      <c r="G572" s="32"/>
      <c r="H572" s="32"/>
      <c r="I572" s="32"/>
      <c r="J572" s="32"/>
      <c r="K572" s="32"/>
      <c r="L572" s="32"/>
      <c r="M572" s="32" t="str">
        <f t="shared" si="9"/>
        <v/>
      </c>
      <c r="N572" s="32"/>
    </row>
    <row r="573" spans="1:14" s="36" customFormat="1" ht="14.1" customHeight="1" x14ac:dyDescent="0.25">
      <c r="A573" s="32" t="str">
        <f>IF(B573&lt;&gt;"",_xlfn.TEXTJOIN("-",1,COUNTIF($B$2:$B573,B573),B573:E573),"")</f>
        <v/>
      </c>
      <c r="B573" s="32"/>
      <c r="C573" s="32"/>
      <c r="D573" s="32"/>
      <c r="E573" s="32"/>
      <c r="F573" s="32"/>
      <c r="G573" s="32"/>
      <c r="H573" s="32"/>
      <c r="I573" s="32"/>
      <c r="J573" s="32"/>
      <c r="K573" s="32"/>
      <c r="L573" s="32"/>
      <c r="M573" s="32" t="str">
        <f t="shared" si="9"/>
        <v/>
      </c>
      <c r="N573" s="32"/>
    </row>
    <row r="574" spans="1:14" s="36" customFormat="1" ht="14.1" customHeight="1" x14ac:dyDescent="0.25">
      <c r="A574" s="32" t="str">
        <f>IF(B574&lt;&gt;"",_xlfn.TEXTJOIN("-",1,COUNTIF($B$2:$B574,B574),B574:E574),"")</f>
        <v/>
      </c>
      <c r="B574" s="32"/>
      <c r="C574" s="32"/>
      <c r="D574" s="32"/>
      <c r="E574" s="32"/>
      <c r="F574" s="32"/>
      <c r="G574" s="32"/>
      <c r="H574" s="32"/>
      <c r="I574" s="32"/>
      <c r="J574" s="32"/>
      <c r="K574" s="32"/>
      <c r="L574" s="32"/>
      <c r="M574" s="32" t="str">
        <f t="shared" si="9"/>
        <v/>
      </c>
      <c r="N574" s="32"/>
    </row>
    <row r="575" spans="1:14" s="36" customFormat="1" ht="14.1" customHeight="1" x14ac:dyDescent="0.25">
      <c r="A575" s="32" t="str">
        <f>IF(B575&lt;&gt;"",_xlfn.TEXTJOIN("-",1,COUNTIF($B$2:$B575,B575),B575:E575),"")</f>
        <v/>
      </c>
      <c r="B575" s="32"/>
      <c r="C575" s="32"/>
      <c r="D575" s="32"/>
      <c r="E575" s="32"/>
      <c r="F575" s="32"/>
      <c r="G575" s="32"/>
      <c r="H575" s="32"/>
      <c r="I575" s="32"/>
      <c r="J575" s="32"/>
      <c r="K575" s="32"/>
      <c r="L575" s="32"/>
      <c r="M575" s="32" t="str">
        <f t="shared" si="9"/>
        <v/>
      </c>
      <c r="N575" s="32"/>
    </row>
    <row r="576" spans="1:14" s="36" customFormat="1" ht="14.1" customHeight="1" x14ac:dyDescent="0.25">
      <c r="A576" s="32" t="str">
        <f>IF(B576&lt;&gt;"",_xlfn.TEXTJOIN("-",1,COUNTIF($B$2:$B576,B576),B576:E576),"")</f>
        <v/>
      </c>
      <c r="B576" s="32"/>
      <c r="C576" s="32"/>
      <c r="D576" s="32"/>
      <c r="E576" s="32"/>
      <c r="F576" s="32"/>
      <c r="G576" s="32"/>
      <c r="H576" s="32"/>
      <c r="I576" s="32"/>
      <c r="J576" s="32"/>
      <c r="K576" s="32"/>
      <c r="L576" s="32"/>
      <c r="M576" s="32" t="str">
        <f t="shared" si="9"/>
        <v/>
      </c>
      <c r="N576" s="32"/>
    </row>
    <row r="577" spans="1:14" s="36" customFormat="1" ht="14.1" customHeight="1" x14ac:dyDescent="0.25">
      <c r="A577" s="32" t="str">
        <f>IF(B577&lt;&gt;"",_xlfn.TEXTJOIN("-",1,COUNTIF($B$2:$B577,B577),B577:E577),"")</f>
        <v/>
      </c>
      <c r="B577" s="32"/>
      <c r="C577" s="32"/>
      <c r="D577" s="32"/>
      <c r="E577" s="32"/>
      <c r="F577" s="32"/>
      <c r="G577" s="32"/>
      <c r="H577" s="32"/>
      <c r="I577" s="32"/>
      <c r="J577" s="32"/>
      <c r="K577" s="32"/>
      <c r="L577" s="32"/>
      <c r="M577" s="32" t="str">
        <f t="shared" si="9"/>
        <v/>
      </c>
      <c r="N577" s="32"/>
    </row>
    <row r="578" spans="1:14" s="36" customFormat="1" ht="14.1" customHeight="1" x14ac:dyDescent="0.25">
      <c r="A578" s="32" t="str">
        <f>IF(B578&lt;&gt;"",_xlfn.TEXTJOIN("-",1,COUNTIF($B$2:$B578,B578),B578:E578),"")</f>
        <v/>
      </c>
      <c r="B578" s="32"/>
      <c r="C578" s="32"/>
      <c r="D578" s="32"/>
      <c r="E578" s="32"/>
      <c r="F578" s="32"/>
      <c r="G578" s="32"/>
      <c r="H578" s="32"/>
      <c r="I578" s="32"/>
      <c r="J578" s="32"/>
      <c r="K578" s="32"/>
      <c r="L578" s="32"/>
      <c r="M578" s="32" t="str">
        <f t="shared" si="9"/>
        <v/>
      </c>
      <c r="N578" s="32"/>
    </row>
    <row r="579" spans="1:14" s="36" customFormat="1" ht="14.1" customHeight="1" x14ac:dyDescent="0.25">
      <c r="A579" s="32" t="str">
        <f>IF(B579&lt;&gt;"",_xlfn.TEXTJOIN("-",1,COUNTIF($B$2:$B579,B579),B579:E579),"")</f>
        <v/>
      </c>
      <c r="B579" s="32"/>
      <c r="C579" s="32"/>
      <c r="D579" s="32"/>
      <c r="E579" s="32"/>
      <c r="F579" s="32"/>
      <c r="G579" s="32"/>
      <c r="H579" s="32"/>
      <c r="I579" s="32"/>
      <c r="J579" s="32"/>
      <c r="K579" s="32"/>
      <c r="L579" s="32"/>
      <c r="M579" s="32" t="str">
        <f t="shared" ref="M579:M642" si="10">IF(B579="FN",_xlfn.CONCAT("egor.v.ivanov+",LEFT(C579,1),"_",LEFT(D579,2),"_",E579,"@outlook.com"),"")</f>
        <v/>
      </c>
      <c r="N579" s="32"/>
    </row>
    <row r="580" spans="1:14" s="36" customFormat="1" ht="14.1" customHeight="1" x14ac:dyDescent="0.25">
      <c r="A580" s="32" t="str">
        <f>IF(B580&lt;&gt;"",_xlfn.TEXTJOIN("-",1,COUNTIF($B$2:$B580,B580),B580:E580),"")</f>
        <v/>
      </c>
      <c r="B580" s="32"/>
      <c r="C580" s="32"/>
      <c r="D580" s="32"/>
      <c r="E580" s="32"/>
      <c r="F580" s="32"/>
      <c r="G580" s="32"/>
      <c r="H580" s="32"/>
      <c r="I580" s="32"/>
      <c r="J580" s="32"/>
      <c r="K580" s="32"/>
      <c r="L580" s="32"/>
      <c r="M580" s="32" t="str">
        <f t="shared" si="10"/>
        <v/>
      </c>
      <c r="N580" s="32"/>
    </row>
    <row r="581" spans="1:14" s="36" customFormat="1" ht="14.1" customHeight="1" x14ac:dyDescent="0.25">
      <c r="A581" s="32" t="str">
        <f>IF(B581&lt;&gt;"",_xlfn.TEXTJOIN("-",1,COUNTIF($B$2:$B581,B581),B581:E581),"")</f>
        <v/>
      </c>
      <c r="B581" s="32"/>
      <c r="C581" s="32"/>
      <c r="D581" s="32"/>
      <c r="E581" s="32"/>
      <c r="F581" s="32"/>
      <c r="G581" s="32"/>
      <c r="H581" s="32"/>
      <c r="I581" s="32"/>
      <c r="J581" s="32"/>
      <c r="K581" s="32"/>
      <c r="L581" s="32"/>
      <c r="M581" s="32" t="str">
        <f t="shared" si="10"/>
        <v/>
      </c>
      <c r="N581" s="32"/>
    </row>
    <row r="582" spans="1:14" s="36" customFormat="1" ht="14.1" customHeight="1" x14ac:dyDescent="0.25">
      <c r="A582" s="32" t="str">
        <f>IF(B582&lt;&gt;"",_xlfn.TEXTJOIN("-",1,COUNTIF($B$2:$B582,B582),B582:E582),"")</f>
        <v/>
      </c>
      <c r="B582" s="32"/>
      <c r="C582" s="32"/>
      <c r="D582" s="32"/>
      <c r="E582" s="32"/>
      <c r="F582" s="32"/>
      <c r="G582" s="32"/>
      <c r="H582" s="32"/>
      <c r="I582" s="32"/>
      <c r="J582" s="32"/>
      <c r="K582" s="32"/>
      <c r="L582" s="32"/>
      <c r="M582" s="32" t="str">
        <f t="shared" si="10"/>
        <v/>
      </c>
      <c r="N582" s="32"/>
    </row>
    <row r="583" spans="1:14" s="36" customFormat="1" ht="14.1" customHeight="1" x14ac:dyDescent="0.25">
      <c r="A583" s="32" t="str">
        <f>IF(B583&lt;&gt;"",_xlfn.TEXTJOIN("-",1,COUNTIF($B$2:$B583,B583),B583:E583),"")</f>
        <v/>
      </c>
      <c r="B583" s="32"/>
      <c r="C583" s="32"/>
      <c r="D583" s="32"/>
      <c r="E583" s="32"/>
      <c r="F583" s="32"/>
      <c r="G583" s="32"/>
      <c r="H583" s="32"/>
      <c r="I583" s="32"/>
      <c r="J583" s="32"/>
      <c r="K583" s="32"/>
      <c r="L583" s="32"/>
      <c r="M583" s="32" t="str">
        <f t="shared" si="10"/>
        <v/>
      </c>
      <c r="N583" s="32"/>
    </row>
    <row r="584" spans="1:14" s="36" customFormat="1" ht="14.1" customHeight="1" x14ac:dyDescent="0.25">
      <c r="A584" s="32" t="str">
        <f>IF(B584&lt;&gt;"",_xlfn.TEXTJOIN("-",1,COUNTIF($B$2:$B584,B584),B584:E584),"")</f>
        <v/>
      </c>
      <c r="B584" s="32"/>
      <c r="C584" s="32"/>
      <c r="D584" s="32"/>
      <c r="E584" s="32"/>
      <c r="F584" s="32"/>
      <c r="G584" s="32"/>
      <c r="H584" s="32"/>
      <c r="I584" s="32"/>
      <c r="J584" s="32"/>
      <c r="K584" s="32"/>
      <c r="L584" s="32"/>
      <c r="M584" s="32" t="str">
        <f t="shared" si="10"/>
        <v/>
      </c>
      <c r="N584" s="32"/>
    </row>
    <row r="585" spans="1:14" s="36" customFormat="1" ht="14.1" customHeight="1" x14ac:dyDescent="0.25">
      <c r="A585" s="32" t="str">
        <f>IF(B585&lt;&gt;"",_xlfn.TEXTJOIN("-",1,COUNTIF($B$2:$B585,B585),B585:E585),"")</f>
        <v/>
      </c>
      <c r="B585" s="32"/>
      <c r="C585" s="32"/>
      <c r="D585" s="32"/>
      <c r="E585" s="32"/>
      <c r="F585" s="32"/>
      <c r="G585" s="32"/>
      <c r="H585" s="32"/>
      <c r="I585" s="32"/>
      <c r="J585" s="32"/>
      <c r="K585" s="32"/>
      <c r="L585" s="32"/>
      <c r="M585" s="32" t="str">
        <f t="shared" si="10"/>
        <v/>
      </c>
      <c r="N585" s="32"/>
    </row>
    <row r="586" spans="1:14" s="36" customFormat="1" ht="14.1" customHeight="1" x14ac:dyDescent="0.25">
      <c r="A586" s="32" t="str">
        <f>IF(B586&lt;&gt;"",_xlfn.TEXTJOIN("-",1,COUNTIF($B$2:$B586,B586),B586:E586),"")</f>
        <v/>
      </c>
      <c r="B586" s="32"/>
      <c r="C586" s="32"/>
      <c r="D586" s="32"/>
      <c r="E586" s="32"/>
      <c r="F586" s="32"/>
      <c r="G586" s="32"/>
      <c r="H586" s="32"/>
      <c r="I586" s="32"/>
      <c r="J586" s="32"/>
      <c r="K586" s="32"/>
      <c r="L586" s="32"/>
      <c r="M586" s="32" t="str">
        <f t="shared" si="10"/>
        <v/>
      </c>
      <c r="N586" s="32"/>
    </row>
    <row r="587" spans="1:14" s="36" customFormat="1" ht="14.1" customHeight="1" x14ac:dyDescent="0.25">
      <c r="A587" s="32" t="str">
        <f>IF(B587&lt;&gt;"",_xlfn.TEXTJOIN("-",1,COUNTIF($B$2:$B587,B587),B587:E587),"")</f>
        <v/>
      </c>
      <c r="B587" s="32"/>
      <c r="C587" s="32"/>
      <c r="D587" s="32"/>
      <c r="E587" s="32"/>
      <c r="F587" s="32"/>
      <c r="G587" s="32"/>
      <c r="H587" s="32"/>
      <c r="I587" s="32"/>
      <c r="J587" s="32"/>
      <c r="K587" s="32"/>
      <c r="L587" s="32"/>
      <c r="M587" s="32" t="str">
        <f t="shared" si="10"/>
        <v/>
      </c>
      <c r="N587" s="32"/>
    </row>
    <row r="588" spans="1:14" s="36" customFormat="1" ht="14.1" customHeight="1" x14ac:dyDescent="0.25">
      <c r="A588" s="32" t="str">
        <f>IF(B588&lt;&gt;"",_xlfn.TEXTJOIN("-",1,COUNTIF($B$2:$B588,B588),B588:E588),"")</f>
        <v/>
      </c>
      <c r="B588" s="32"/>
      <c r="C588" s="32"/>
      <c r="D588" s="32"/>
      <c r="E588" s="32"/>
      <c r="F588" s="32"/>
      <c r="G588" s="32"/>
      <c r="H588" s="32"/>
      <c r="I588" s="32"/>
      <c r="J588" s="32"/>
      <c r="K588" s="32"/>
      <c r="L588" s="32"/>
      <c r="M588" s="32" t="str">
        <f t="shared" si="10"/>
        <v/>
      </c>
      <c r="N588" s="32"/>
    </row>
    <row r="589" spans="1:14" s="36" customFormat="1" ht="14.1" customHeight="1" x14ac:dyDescent="0.25">
      <c r="A589" s="32" t="str">
        <f>IF(B589&lt;&gt;"",_xlfn.TEXTJOIN("-",1,COUNTIF($B$2:$B589,B589),B589:E589),"")</f>
        <v/>
      </c>
      <c r="B589" s="32"/>
      <c r="C589" s="32"/>
      <c r="D589" s="32"/>
      <c r="E589" s="32"/>
      <c r="F589" s="32"/>
      <c r="G589" s="32"/>
      <c r="H589" s="32"/>
      <c r="I589" s="32"/>
      <c r="J589" s="32"/>
      <c r="K589" s="32"/>
      <c r="L589" s="32"/>
      <c r="M589" s="32" t="str">
        <f t="shared" si="10"/>
        <v/>
      </c>
      <c r="N589" s="32"/>
    </row>
    <row r="590" spans="1:14" s="36" customFormat="1" ht="14.1" customHeight="1" x14ac:dyDescent="0.25">
      <c r="A590" s="32" t="str">
        <f>IF(B590&lt;&gt;"",_xlfn.TEXTJOIN("-",1,COUNTIF($B$2:$B590,B590),B590:E590),"")</f>
        <v/>
      </c>
      <c r="B590" s="32"/>
      <c r="C590" s="32"/>
      <c r="D590" s="32"/>
      <c r="E590" s="32"/>
      <c r="F590" s="32"/>
      <c r="G590" s="32"/>
      <c r="H590" s="32"/>
      <c r="I590" s="32"/>
      <c r="J590" s="32"/>
      <c r="K590" s="32"/>
      <c r="L590" s="32"/>
      <c r="M590" s="32" t="str">
        <f t="shared" si="10"/>
        <v/>
      </c>
      <c r="N590" s="32"/>
    </row>
    <row r="591" spans="1:14" s="36" customFormat="1" ht="14.1" customHeight="1" x14ac:dyDescent="0.25">
      <c r="A591" s="32" t="str">
        <f>IF(B591&lt;&gt;"",_xlfn.TEXTJOIN("-",1,COUNTIF($B$2:$B591,B591),B591:E591),"")</f>
        <v/>
      </c>
      <c r="B591" s="32"/>
      <c r="C591" s="32"/>
      <c r="D591" s="32"/>
      <c r="E591" s="32"/>
      <c r="F591" s="32"/>
      <c r="G591" s="32"/>
      <c r="H591" s="32"/>
      <c r="I591" s="32"/>
      <c r="J591" s="32"/>
      <c r="K591" s="32"/>
      <c r="L591" s="32"/>
      <c r="M591" s="32" t="str">
        <f t="shared" si="10"/>
        <v/>
      </c>
      <c r="N591" s="32"/>
    </row>
    <row r="592" spans="1:14" s="36" customFormat="1" ht="14.1" customHeight="1" x14ac:dyDescent="0.25">
      <c r="A592" s="32" t="str">
        <f>IF(B592&lt;&gt;"",_xlfn.TEXTJOIN("-",1,COUNTIF($B$2:$B592,B592),B592:E592),"")</f>
        <v/>
      </c>
      <c r="B592" s="32"/>
      <c r="C592" s="32"/>
      <c r="D592" s="32"/>
      <c r="E592" s="32"/>
      <c r="F592" s="32"/>
      <c r="G592" s="32"/>
      <c r="H592" s="32"/>
      <c r="I592" s="32"/>
      <c r="J592" s="32"/>
      <c r="K592" s="32"/>
      <c r="L592" s="32"/>
      <c r="M592" s="32" t="str">
        <f t="shared" si="10"/>
        <v/>
      </c>
      <c r="N592" s="32"/>
    </row>
    <row r="593" spans="1:14" s="36" customFormat="1" ht="14.1" customHeight="1" x14ac:dyDescent="0.25">
      <c r="A593" s="32" t="str">
        <f>IF(B593&lt;&gt;"",_xlfn.TEXTJOIN("-",1,COUNTIF($B$2:$B593,B593),B593:E593),"")</f>
        <v/>
      </c>
      <c r="B593" s="32"/>
      <c r="C593" s="32"/>
      <c r="D593" s="32"/>
      <c r="E593" s="32"/>
      <c r="F593" s="32"/>
      <c r="G593" s="32"/>
      <c r="H593" s="32"/>
      <c r="I593" s="32"/>
      <c r="J593" s="32"/>
      <c r="K593" s="32"/>
      <c r="L593" s="32"/>
      <c r="M593" s="32" t="str">
        <f t="shared" si="10"/>
        <v/>
      </c>
      <c r="N593" s="32"/>
    </row>
    <row r="594" spans="1:14" s="36" customFormat="1" ht="14.1" customHeight="1" x14ac:dyDescent="0.25">
      <c r="A594" s="32" t="str">
        <f>IF(B594&lt;&gt;"",_xlfn.TEXTJOIN("-",1,COUNTIF($B$2:$B594,B594),B594:E594),"")</f>
        <v/>
      </c>
      <c r="B594" s="32"/>
      <c r="C594" s="32"/>
      <c r="D594" s="32"/>
      <c r="E594" s="32"/>
      <c r="F594" s="32"/>
      <c r="G594" s="32"/>
      <c r="H594" s="32"/>
      <c r="I594" s="32"/>
      <c r="J594" s="32"/>
      <c r="K594" s="32"/>
      <c r="L594" s="32"/>
      <c r="M594" s="32" t="str">
        <f t="shared" si="10"/>
        <v/>
      </c>
      <c r="N594" s="32"/>
    </row>
    <row r="595" spans="1:14" s="36" customFormat="1" ht="14.1" customHeight="1" x14ac:dyDescent="0.25">
      <c r="A595" s="32" t="str">
        <f>IF(B595&lt;&gt;"",_xlfn.TEXTJOIN("-",1,COUNTIF($B$2:$B595,B595),B595:E595),"")</f>
        <v/>
      </c>
      <c r="B595" s="32"/>
      <c r="C595" s="32"/>
      <c r="D595" s="32"/>
      <c r="E595" s="32"/>
      <c r="F595" s="32"/>
      <c r="G595" s="32"/>
      <c r="H595" s="32"/>
      <c r="I595" s="32"/>
      <c r="J595" s="32"/>
      <c r="K595" s="32"/>
      <c r="L595" s="32"/>
      <c r="M595" s="32" t="str">
        <f t="shared" si="10"/>
        <v/>
      </c>
      <c r="N595" s="32"/>
    </row>
    <row r="596" spans="1:14" s="36" customFormat="1" ht="14.1" customHeight="1" x14ac:dyDescent="0.25">
      <c r="A596" s="32" t="str">
        <f>IF(B596&lt;&gt;"",_xlfn.TEXTJOIN("-",1,COUNTIF($B$2:$B596,B596),B596:E596),"")</f>
        <v/>
      </c>
      <c r="B596" s="32"/>
      <c r="C596" s="32"/>
      <c r="D596" s="32"/>
      <c r="E596" s="32"/>
      <c r="F596" s="32"/>
      <c r="G596" s="32"/>
      <c r="H596" s="32"/>
      <c r="I596" s="32"/>
      <c r="J596" s="32"/>
      <c r="K596" s="32"/>
      <c r="L596" s="32"/>
      <c r="M596" s="32" t="str">
        <f t="shared" si="10"/>
        <v/>
      </c>
      <c r="N596" s="32"/>
    </row>
    <row r="597" spans="1:14" s="36" customFormat="1" ht="14.1" customHeight="1" x14ac:dyDescent="0.25">
      <c r="A597" s="32" t="str">
        <f>IF(B597&lt;&gt;"",_xlfn.TEXTJOIN("-",1,COUNTIF($B$2:$B597,B597),B597:E597),"")</f>
        <v/>
      </c>
      <c r="B597" s="32"/>
      <c r="C597" s="32"/>
      <c r="D597" s="32"/>
      <c r="E597" s="32"/>
      <c r="F597" s="32"/>
      <c r="G597" s="32"/>
      <c r="H597" s="32"/>
      <c r="I597" s="32"/>
      <c r="J597" s="32"/>
      <c r="K597" s="32"/>
      <c r="L597" s="32"/>
      <c r="M597" s="32" t="str">
        <f t="shared" si="10"/>
        <v/>
      </c>
      <c r="N597" s="32"/>
    </row>
    <row r="598" spans="1:14" s="36" customFormat="1" ht="14.1" customHeight="1" x14ac:dyDescent="0.25">
      <c r="A598" s="32" t="str">
        <f>IF(B598&lt;&gt;"",_xlfn.TEXTJOIN("-",1,COUNTIF($B$2:$B598,B598),B598:E598),"")</f>
        <v/>
      </c>
      <c r="B598" s="32"/>
      <c r="C598" s="32"/>
      <c r="D598" s="32"/>
      <c r="E598" s="32"/>
      <c r="F598" s="32"/>
      <c r="G598" s="32"/>
      <c r="H598" s="32"/>
      <c r="I598" s="32"/>
      <c r="J598" s="32"/>
      <c r="K598" s="32"/>
      <c r="L598" s="32"/>
      <c r="M598" s="32" t="str">
        <f t="shared" si="10"/>
        <v/>
      </c>
      <c r="N598" s="32"/>
    </row>
    <row r="599" spans="1:14" s="36" customFormat="1" ht="14.1" customHeight="1" x14ac:dyDescent="0.25">
      <c r="A599" s="32" t="str">
        <f>IF(B599&lt;&gt;"",_xlfn.TEXTJOIN("-",1,COUNTIF($B$2:$B599,B599),B599:E599),"")</f>
        <v/>
      </c>
      <c r="B599" s="32"/>
      <c r="C599" s="32"/>
      <c r="D599" s="32"/>
      <c r="E599" s="32"/>
      <c r="F599" s="32"/>
      <c r="G599" s="32"/>
      <c r="H599" s="32"/>
      <c r="I599" s="32"/>
      <c r="J599" s="32"/>
      <c r="K599" s="32"/>
      <c r="L599" s="32"/>
      <c r="M599" s="32" t="str">
        <f t="shared" si="10"/>
        <v/>
      </c>
      <c r="N599" s="32"/>
    </row>
    <row r="600" spans="1:14" s="36" customFormat="1" ht="14.1" customHeight="1" x14ac:dyDescent="0.25">
      <c r="A600" s="32" t="str">
        <f>IF(B600&lt;&gt;"",_xlfn.TEXTJOIN("-",1,COUNTIF($B$2:$B600,B600),B600:E600),"")</f>
        <v/>
      </c>
      <c r="B600" s="32"/>
      <c r="C600" s="32"/>
      <c r="D600" s="32"/>
      <c r="E600" s="32"/>
      <c r="F600" s="32"/>
      <c r="G600" s="32"/>
      <c r="H600" s="32"/>
      <c r="I600" s="32"/>
      <c r="J600" s="32"/>
      <c r="K600" s="32"/>
      <c r="L600" s="32"/>
      <c r="M600" s="32" t="str">
        <f t="shared" si="10"/>
        <v/>
      </c>
      <c r="N600" s="32"/>
    </row>
    <row r="601" spans="1:14" s="36" customFormat="1" ht="14.1" customHeight="1" x14ac:dyDescent="0.25">
      <c r="A601" s="32" t="str">
        <f>IF(B601&lt;&gt;"",_xlfn.TEXTJOIN("-",1,COUNTIF($B$2:$B601,B601),B601:E601),"")</f>
        <v/>
      </c>
      <c r="B601" s="32"/>
      <c r="C601" s="32"/>
      <c r="D601" s="32"/>
      <c r="E601" s="32"/>
      <c r="F601" s="32"/>
      <c r="G601" s="32"/>
      <c r="H601" s="32"/>
      <c r="I601" s="32"/>
      <c r="J601" s="32"/>
      <c r="K601" s="32"/>
      <c r="L601" s="32"/>
      <c r="M601" s="32" t="str">
        <f t="shared" si="10"/>
        <v/>
      </c>
      <c r="N601" s="32"/>
    </row>
    <row r="602" spans="1:14" s="36" customFormat="1" ht="14.1" customHeight="1" x14ac:dyDescent="0.25">
      <c r="A602" s="32" t="str">
        <f>IF(B602&lt;&gt;"",_xlfn.TEXTJOIN("-",1,COUNTIF($B$2:$B602,B602),B602:E602),"")</f>
        <v/>
      </c>
      <c r="B602" s="32"/>
      <c r="C602" s="32"/>
      <c r="D602" s="32"/>
      <c r="E602" s="32"/>
      <c r="F602" s="32"/>
      <c r="G602" s="32"/>
      <c r="H602" s="32"/>
      <c r="I602" s="32"/>
      <c r="J602" s="32"/>
      <c r="K602" s="32"/>
      <c r="L602" s="32"/>
      <c r="M602" s="32" t="str">
        <f t="shared" si="10"/>
        <v/>
      </c>
      <c r="N602" s="32"/>
    </row>
    <row r="603" spans="1:14" s="36" customFormat="1" ht="14.1" customHeight="1" x14ac:dyDescent="0.25">
      <c r="A603" s="32" t="str">
        <f>IF(B603&lt;&gt;"",_xlfn.TEXTJOIN("-",1,COUNTIF($B$2:$B603,B603),B603:E603),"")</f>
        <v/>
      </c>
      <c r="B603" s="32"/>
      <c r="C603" s="32"/>
      <c r="D603" s="32"/>
      <c r="E603" s="32"/>
      <c r="F603" s="32"/>
      <c r="G603" s="32"/>
      <c r="H603" s="32"/>
      <c r="I603" s="32"/>
      <c r="J603" s="32"/>
      <c r="K603" s="32"/>
      <c r="L603" s="32"/>
      <c r="M603" s="32" t="str">
        <f t="shared" si="10"/>
        <v/>
      </c>
      <c r="N603" s="32"/>
    </row>
    <row r="604" spans="1:14" s="36" customFormat="1" ht="14.1" customHeight="1" x14ac:dyDescent="0.25">
      <c r="A604" s="32" t="str">
        <f>IF(B604&lt;&gt;"",_xlfn.TEXTJOIN("-",1,COUNTIF($B$2:$B604,B604),B604:E604),"")</f>
        <v/>
      </c>
      <c r="B604" s="32"/>
      <c r="C604" s="32"/>
      <c r="D604" s="32"/>
      <c r="E604" s="32"/>
      <c r="F604" s="32"/>
      <c r="G604" s="32"/>
      <c r="H604" s="32"/>
      <c r="I604" s="32"/>
      <c r="J604" s="32"/>
      <c r="K604" s="32"/>
      <c r="L604" s="32"/>
      <c r="M604" s="32" t="str">
        <f t="shared" si="10"/>
        <v/>
      </c>
      <c r="N604" s="32"/>
    </row>
    <row r="605" spans="1:14" s="36" customFormat="1" ht="14.1" customHeight="1" x14ac:dyDescent="0.25">
      <c r="A605" s="32" t="str">
        <f>IF(B605&lt;&gt;"",_xlfn.TEXTJOIN("-",1,COUNTIF($B$2:$B605,B605),B605:E605),"")</f>
        <v/>
      </c>
      <c r="B605" s="32"/>
      <c r="C605" s="32"/>
      <c r="D605" s="32"/>
      <c r="E605" s="32"/>
      <c r="F605" s="32"/>
      <c r="G605" s="32"/>
      <c r="H605" s="32"/>
      <c r="I605" s="32"/>
      <c r="J605" s="32"/>
      <c r="K605" s="32"/>
      <c r="L605" s="32"/>
      <c r="M605" s="32" t="str">
        <f t="shared" si="10"/>
        <v/>
      </c>
      <c r="N605" s="32"/>
    </row>
    <row r="606" spans="1:14" s="36" customFormat="1" ht="14.1" customHeight="1" x14ac:dyDescent="0.25">
      <c r="A606" s="32" t="str">
        <f>IF(B606&lt;&gt;"",_xlfn.TEXTJOIN("-",1,COUNTIF($B$2:$B606,B606),B606:E606),"")</f>
        <v/>
      </c>
      <c r="B606" s="32"/>
      <c r="C606" s="32"/>
      <c r="D606" s="32"/>
      <c r="E606" s="32"/>
      <c r="F606" s="32"/>
      <c r="G606" s="32"/>
      <c r="H606" s="32"/>
      <c r="I606" s="32"/>
      <c r="J606" s="32"/>
      <c r="K606" s="32"/>
      <c r="L606" s="32"/>
      <c r="M606" s="32" t="str">
        <f t="shared" si="10"/>
        <v/>
      </c>
      <c r="N606" s="32"/>
    </row>
    <row r="607" spans="1:14" s="36" customFormat="1" ht="14.1" customHeight="1" x14ac:dyDescent="0.25">
      <c r="A607" s="32" t="str">
        <f>IF(B607&lt;&gt;"",_xlfn.TEXTJOIN("-",1,COUNTIF($B$2:$B607,B607),B607:E607),"")</f>
        <v/>
      </c>
      <c r="B607" s="32"/>
      <c r="C607" s="32"/>
      <c r="D607" s="32"/>
      <c r="E607" s="32"/>
      <c r="F607" s="32"/>
      <c r="G607" s="32"/>
      <c r="H607" s="32"/>
      <c r="I607" s="32"/>
      <c r="J607" s="32"/>
      <c r="K607" s="32"/>
      <c r="L607" s="32"/>
      <c r="M607" s="32" t="str">
        <f t="shared" si="10"/>
        <v/>
      </c>
      <c r="N607" s="32"/>
    </row>
    <row r="608" spans="1:14" s="36" customFormat="1" ht="14.1" customHeight="1" x14ac:dyDescent="0.25">
      <c r="A608" s="32" t="str">
        <f>IF(B608&lt;&gt;"",_xlfn.TEXTJOIN("-",1,COUNTIF($B$2:$B608,B608),B608:E608),"")</f>
        <v/>
      </c>
      <c r="B608" s="32"/>
      <c r="C608" s="32"/>
      <c r="D608" s="32"/>
      <c r="E608" s="32"/>
      <c r="F608" s="32"/>
      <c r="G608" s="32"/>
      <c r="H608" s="32"/>
      <c r="I608" s="32"/>
      <c r="J608" s="32"/>
      <c r="K608" s="32"/>
      <c r="L608" s="32"/>
      <c r="M608" s="32" t="str">
        <f t="shared" si="10"/>
        <v/>
      </c>
      <c r="N608" s="32"/>
    </row>
    <row r="609" spans="1:14" s="36" customFormat="1" ht="14.1" customHeight="1" x14ac:dyDescent="0.25">
      <c r="A609" s="32" t="str">
        <f>IF(B609&lt;&gt;"",_xlfn.TEXTJOIN("-",1,COUNTIF($B$2:$B609,B609),B609:E609),"")</f>
        <v/>
      </c>
      <c r="B609" s="32"/>
      <c r="C609" s="32"/>
      <c r="D609" s="32"/>
      <c r="E609" s="32"/>
      <c r="F609" s="32"/>
      <c r="G609" s="32"/>
      <c r="H609" s="32"/>
      <c r="I609" s="32"/>
      <c r="J609" s="32"/>
      <c r="K609" s="32"/>
      <c r="L609" s="32"/>
      <c r="M609" s="32" t="str">
        <f t="shared" si="10"/>
        <v/>
      </c>
      <c r="N609" s="32"/>
    </row>
    <row r="610" spans="1:14" s="36" customFormat="1" ht="14.1" customHeight="1" x14ac:dyDescent="0.25">
      <c r="A610" s="32" t="str">
        <f>IF(B610&lt;&gt;"",_xlfn.TEXTJOIN("-",1,COUNTIF($B$2:$B610,B610),B610:E610),"")</f>
        <v/>
      </c>
      <c r="B610" s="32"/>
      <c r="C610" s="32"/>
      <c r="D610" s="32"/>
      <c r="E610" s="32"/>
      <c r="F610" s="32"/>
      <c r="G610" s="32"/>
      <c r="H610" s="32"/>
      <c r="I610" s="32"/>
      <c r="J610" s="32"/>
      <c r="K610" s="32"/>
      <c r="L610" s="32"/>
      <c r="M610" s="32" t="str">
        <f t="shared" si="10"/>
        <v/>
      </c>
      <c r="N610" s="32"/>
    </row>
    <row r="611" spans="1:14" s="36" customFormat="1" ht="14.1" customHeight="1" x14ac:dyDescent="0.25">
      <c r="A611" s="32" t="str">
        <f>IF(B611&lt;&gt;"",_xlfn.TEXTJOIN("-",1,COUNTIF($B$2:$B611,B611),B611:E611),"")</f>
        <v/>
      </c>
      <c r="B611" s="32"/>
      <c r="C611" s="32"/>
      <c r="D611" s="32"/>
      <c r="E611" s="32"/>
      <c r="F611" s="32"/>
      <c r="G611" s="32"/>
      <c r="H611" s="32"/>
      <c r="I611" s="32"/>
      <c r="J611" s="32"/>
      <c r="K611" s="32"/>
      <c r="L611" s="32"/>
      <c r="M611" s="32" t="str">
        <f t="shared" si="10"/>
        <v/>
      </c>
      <c r="N611" s="32"/>
    </row>
    <row r="612" spans="1:14" s="36" customFormat="1" ht="14.1" customHeight="1" x14ac:dyDescent="0.25">
      <c r="A612" s="32" t="str">
        <f>IF(B612&lt;&gt;"",_xlfn.TEXTJOIN("-",1,COUNTIF($B$2:$B612,B612),B612:E612),"")</f>
        <v/>
      </c>
      <c r="B612" s="32"/>
      <c r="C612" s="32"/>
      <c r="D612" s="32"/>
      <c r="E612" s="32"/>
      <c r="F612" s="32"/>
      <c r="G612" s="32"/>
      <c r="H612" s="32"/>
      <c r="I612" s="32"/>
      <c r="J612" s="32"/>
      <c r="K612" s="32"/>
      <c r="L612" s="32"/>
      <c r="M612" s="32" t="str">
        <f t="shared" si="10"/>
        <v/>
      </c>
      <c r="N612" s="32"/>
    </row>
    <row r="613" spans="1:14" s="36" customFormat="1" ht="14.1" customHeight="1" x14ac:dyDescent="0.25">
      <c r="A613" s="32" t="str">
        <f>IF(B613&lt;&gt;"",_xlfn.TEXTJOIN("-",1,COUNTIF($B$2:$B613,B613),B613:E613),"")</f>
        <v/>
      </c>
      <c r="B613" s="32"/>
      <c r="C613" s="32"/>
      <c r="D613" s="32"/>
      <c r="E613" s="32"/>
      <c r="F613" s="32"/>
      <c r="G613" s="32"/>
      <c r="H613" s="32"/>
      <c r="I613" s="32"/>
      <c r="J613" s="32"/>
      <c r="K613" s="32"/>
      <c r="L613" s="32"/>
      <c r="M613" s="32" t="str">
        <f t="shared" si="10"/>
        <v/>
      </c>
      <c r="N613" s="32"/>
    </row>
    <row r="614" spans="1:14" s="36" customFormat="1" ht="14.1" customHeight="1" x14ac:dyDescent="0.25">
      <c r="A614" s="32" t="str">
        <f>IF(B614&lt;&gt;"",_xlfn.TEXTJOIN("-",1,COUNTIF($B$2:$B614,B614),B614:E614),"")</f>
        <v/>
      </c>
      <c r="B614" s="32"/>
      <c r="C614" s="32"/>
      <c r="D614" s="32"/>
      <c r="E614" s="32"/>
      <c r="F614" s="32"/>
      <c r="G614" s="32"/>
      <c r="H614" s="32"/>
      <c r="I614" s="32"/>
      <c r="J614" s="32"/>
      <c r="K614" s="32"/>
      <c r="L614" s="32"/>
      <c r="M614" s="32" t="str">
        <f t="shared" si="10"/>
        <v/>
      </c>
      <c r="N614" s="32"/>
    </row>
    <row r="615" spans="1:14" s="36" customFormat="1" ht="14.1" customHeight="1" x14ac:dyDescent="0.25">
      <c r="A615" s="32" t="str">
        <f>IF(B615&lt;&gt;"",_xlfn.TEXTJOIN("-",1,COUNTIF($B$2:$B615,B615),B615:E615),"")</f>
        <v/>
      </c>
      <c r="B615" s="32"/>
      <c r="C615" s="32"/>
      <c r="D615" s="32"/>
      <c r="E615" s="32"/>
      <c r="F615" s="32"/>
      <c r="G615" s="32"/>
      <c r="H615" s="32"/>
      <c r="I615" s="32"/>
      <c r="J615" s="32"/>
      <c r="K615" s="32"/>
      <c r="L615" s="32"/>
      <c r="M615" s="32" t="str">
        <f t="shared" si="10"/>
        <v/>
      </c>
      <c r="N615" s="32"/>
    </row>
    <row r="616" spans="1:14" s="36" customFormat="1" ht="14.1" customHeight="1" x14ac:dyDescent="0.25">
      <c r="A616" s="32" t="str">
        <f>IF(B616&lt;&gt;"",_xlfn.TEXTJOIN("-",1,COUNTIF($B$2:$B616,B616),B616:E616),"")</f>
        <v/>
      </c>
      <c r="B616" s="32"/>
      <c r="C616" s="32"/>
      <c r="D616" s="32"/>
      <c r="E616" s="32"/>
      <c r="F616" s="32"/>
      <c r="G616" s="32"/>
      <c r="H616" s="32"/>
      <c r="I616" s="32"/>
      <c r="J616" s="32"/>
      <c r="K616" s="32"/>
      <c r="L616" s="32"/>
      <c r="M616" s="32" t="str">
        <f t="shared" si="10"/>
        <v/>
      </c>
      <c r="N616" s="32"/>
    </row>
    <row r="617" spans="1:14" s="36" customFormat="1" ht="14.1" customHeight="1" x14ac:dyDescent="0.25">
      <c r="A617" s="32" t="str">
        <f>IF(B617&lt;&gt;"",_xlfn.TEXTJOIN("-",1,COUNTIF($B$2:$B617,B617),B617:E617),"")</f>
        <v/>
      </c>
      <c r="B617" s="32"/>
      <c r="C617" s="32"/>
      <c r="D617" s="32"/>
      <c r="E617" s="32"/>
      <c r="F617" s="32"/>
      <c r="G617" s="32"/>
      <c r="H617" s="32"/>
      <c r="I617" s="32"/>
      <c r="J617" s="32"/>
      <c r="K617" s="32"/>
      <c r="L617" s="32"/>
      <c r="M617" s="32" t="str">
        <f t="shared" si="10"/>
        <v/>
      </c>
      <c r="N617" s="32"/>
    </row>
    <row r="618" spans="1:14" s="36" customFormat="1" ht="14.1" customHeight="1" x14ac:dyDescent="0.25">
      <c r="A618" s="32" t="str">
        <f>IF(B618&lt;&gt;"",_xlfn.TEXTJOIN("-",1,COUNTIF($B$2:$B618,B618),B618:E618),"")</f>
        <v/>
      </c>
      <c r="B618" s="32"/>
      <c r="C618" s="32"/>
      <c r="D618" s="32"/>
      <c r="E618" s="32"/>
      <c r="F618" s="32"/>
      <c r="G618" s="32"/>
      <c r="H618" s="32"/>
      <c r="I618" s="32"/>
      <c r="J618" s="32"/>
      <c r="K618" s="32"/>
      <c r="L618" s="32"/>
      <c r="M618" s="32" t="str">
        <f t="shared" si="10"/>
        <v/>
      </c>
      <c r="N618" s="32"/>
    </row>
    <row r="619" spans="1:14" s="36" customFormat="1" ht="14.1" customHeight="1" x14ac:dyDescent="0.25">
      <c r="A619" s="32" t="str">
        <f>IF(B619&lt;&gt;"",_xlfn.TEXTJOIN("-",1,COUNTIF($B$2:$B619,B619),B619:E619),"")</f>
        <v/>
      </c>
      <c r="B619" s="32"/>
      <c r="C619" s="32"/>
      <c r="D619" s="32"/>
      <c r="E619" s="32"/>
      <c r="F619" s="32"/>
      <c r="G619" s="32"/>
      <c r="H619" s="32"/>
      <c r="I619" s="32"/>
      <c r="J619" s="32"/>
      <c r="K619" s="32"/>
      <c r="L619" s="32"/>
      <c r="M619" s="32" t="str">
        <f t="shared" si="10"/>
        <v/>
      </c>
      <c r="N619" s="32"/>
    </row>
    <row r="620" spans="1:14" s="36" customFormat="1" ht="14.1" customHeight="1" x14ac:dyDescent="0.25">
      <c r="A620" s="32" t="str">
        <f>IF(B620&lt;&gt;"",_xlfn.TEXTJOIN("-",1,COUNTIF($B$2:$B620,B620),B620:E620),"")</f>
        <v/>
      </c>
      <c r="B620" s="32"/>
      <c r="C620" s="32"/>
      <c r="D620" s="32"/>
      <c r="E620" s="32"/>
      <c r="F620" s="32"/>
      <c r="G620" s="32"/>
      <c r="H620" s="32"/>
      <c r="I620" s="32"/>
      <c r="J620" s="32"/>
      <c r="K620" s="32"/>
      <c r="L620" s="32"/>
      <c r="M620" s="32" t="str">
        <f t="shared" si="10"/>
        <v/>
      </c>
      <c r="N620" s="32"/>
    </row>
    <row r="621" spans="1:14" s="36" customFormat="1" ht="14.1" customHeight="1" x14ac:dyDescent="0.25">
      <c r="A621" s="32" t="str">
        <f>IF(B621&lt;&gt;"",_xlfn.TEXTJOIN("-",1,COUNTIF($B$2:$B621,B621),B621:E621),"")</f>
        <v/>
      </c>
      <c r="B621" s="32"/>
      <c r="C621" s="32"/>
      <c r="D621" s="32"/>
      <c r="E621" s="32"/>
      <c r="F621" s="32"/>
      <c r="G621" s="32"/>
      <c r="H621" s="32"/>
      <c r="I621" s="32"/>
      <c r="J621" s="32"/>
      <c r="K621" s="32"/>
      <c r="L621" s="32"/>
      <c r="M621" s="32" t="str">
        <f t="shared" si="10"/>
        <v/>
      </c>
      <c r="N621" s="32"/>
    </row>
    <row r="622" spans="1:14" s="36" customFormat="1" ht="14.1" customHeight="1" x14ac:dyDescent="0.25">
      <c r="A622" s="32" t="str">
        <f>IF(B622&lt;&gt;"",_xlfn.TEXTJOIN("-",1,COUNTIF($B$2:$B622,B622),B622:E622),"")</f>
        <v/>
      </c>
      <c r="B622" s="32"/>
      <c r="C622" s="32"/>
      <c r="D622" s="32"/>
      <c r="E622" s="32"/>
      <c r="F622" s="32"/>
      <c r="G622" s="32"/>
      <c r="H622" s="32"/>
      <c r="I622" s="32"/>
      <c r="J622" s="32"/>
      <c r="K622" s="32"/>
      <c r="L622" s="32"/>
      <c r="M622" s="32" t="str">
        <f t="shared" si="10"/>
        <v/>
      </c>
      <c r="N622" s="32"/>
    </row>
    <row r="623" spans="1:14" s="36" customFormat="1" ht="14.1" customHeight="1" x14ac:dyDescent="0.25">
      <c r="A623" s="32" t="str">
        <f>IF(B623&lt;&gt;"",_xlfn.TEXTJOIN("-",1,COUNTIF($B$2:$B623,B623),B623:E623),"")</f>
        <v/>
      </c>
      <c r="B623" s="32"/>
      <c r="C623" s="32"/>
      <c r="D623" s="32"/>
      <c r="E623" s="32"/>
      <c r="F623" s="32"/>
      <c r="G623" s="32"/>
      <c r="H623" s="32"/>
      <c r="I623" s="32"/>
      <c r="J623" s="32"/>
      <c r="K623" s="32"/>
      <c r="L623" s="32"/>
      <c r="M623" s="32" t="str">
        <f t="shared" si="10"/>
        <v/>
      </c>
      <c r="N623" s="32"/>
    </row>
    <row r="624" spans="1:14" s="36" customFormat="1" ht="14.1" customHeight="1" x14ac:dyDescent="0.25">
      <c r="A624" s="32" t="str">
        <f>IF(B624&lt;&gt;"",_xlfn.TEXTJOIN("-",1,COUNTIF($B$2:$B624,B624),B624:E624),"")</f>
        <v/>
      </c>
      <c r="B624" s="32"/>
      <c r="C624" s="32"/>
      <c r="D624" s="32"/>
      <c r="E624" s="32"/>
      <c r="F624" s="32"/>
      <c r="G624" s="32"/>
      <c r="H624" s="32"/>
      <c r="I624" s="32"/>
      <c r="J624" s="32"/>
      <c r="K624" s="32"/>
      <c r="L624" s="32"/>
      <c r="M624" s="32" t="str">
        <f t="shared" si="10"/>
        <v/>
      </c>
      <c r="N624" s="32"/>
    </row>
    <row r="625" spans="1:14" s="36" customFormat="1" ht="14.1" customHeight="1" x14ac:dyDescent="0.25">
      <c r="A625" s="32" t="str">
        <f>IF(B625&lt;&gt;"",_xlfn.TEXTJOIN("-",1,COUNTIF($B$2:$B625,B625),B625:E625),"")</f>
        <v/>
      </c>
      <c r="B625" s="32"/>
      <c r="C625" s="32"/>
      <c r="D625" s="32"/>
      <c r="E625" s="32"/>
      <c r="F625" s="32"/>
      <c r="G625" s="32"/>
      <c r="H625" s="32"/>
      <c r="I625" s="32"/>
      <c r="J625" s="32"/>
      <c r="K625" s="32"/>
      <c r="L625" s="32"/>
      <c r="M625" s="32" t="str">
        <f t="shared" si="10"/>
        <v/>
      </c>
      <c r="N625" s="32"/>
    </row>
    <row r="626" spans="1:14" s="36" customFormat="1" ht="14.1" customHeight="1" x14ac:dyDescent="0.25">
      <c r="A626" s="32" t="str">
        <f>IF(B626&lt;&gt;"",_xlfn.TEXTJOIN("-",1,COUNTIF($B$2:$B626,B626),B626:E626),"")</f>
        <v/>
      </c>
      <c r="B626" s="32"/>
      <c r="C626" s="32"/>
      <c r="D626" s="32"/>
      <c r="E626" s="32"/>
      <c r="F626" s="32"/>
      <c r="G626" s="32"/>
      <c r="H626" s="32"/>
      <c r="I626" s="32"/>
      <c r="J626" s="32"/>
      <c r="K626" s="32"/>
      <c r="L626" s="32"/>
      <c r="M626" s="32" t="str">
        <f t="shared" si="10"/>
        <v/>
      </c>
      <c r="N626" s="32"/>
    </row>
    <row r="627" spans="1:14" s="36" customFormat="1" ht="14.1" customHeight="1" x14ac:dyDescent="0.25">
      <c r="A627" s="32" t="str">
        <f>IF(B627&lt;&gt;"",_xlfn.TEXTJOIN("-",1,COUNTIF($B$2:$B627,B627),B627:E627),"")</f>
        <v/>
      </c>
      <c r="B627" s="32"/>
      <c r="C627" s="32"/>
      <c r="D627" s="32"/>
      <c r="E627" s="32"/>
      <c r="F627" s="32"/>
      <c r="G627" s="32"/>
      <c r="H627" s="32"/>
      <c r="I627" s="32"/>
      <c r="J627" s="32"/>
      <c r="K627" s="32"/>
      <c r="L627" s="32"/>
      <c r="M627" s="32" t="str">
        <f t="shared" si="10"/>
        <v/>
      </c>
      <c r="N627" s="32"/>
    </row>
    <row r="628" spans="1:14" s="36" customFormat="1" ht="14.1" customHeight="1" x14ac:dyDescent="0.25">
      <c r="A628" s="32" t="str">
        <f>IF(B628&lt;&gt;"",_xlfn.TEXTJOIN("-",1,COUNTIF($B$2:$B628,B628),B628:E628),"")</f>
        <v/>
      </c>
      <c r="B628" s="32"/>
      <c r="C628" s="32"/>
      <c r="D628" s="32"/>
      <c r="E628" s="32"/>
      <c r="F628" s="32"/>
      <c r="G628" s="32"/>
      <c r="H628" s="32"/>
      <c r="I628" s="32"/>
      <c r="J628" s="32"/>
      <c r="K628" s="32"/>
      <c r="L628" s="32"/>
      <c r="M628" s="32" t="str">
        <f t="shared" si="10"/>
        <v/>
      </c>
      <c r="N628" s="32"/>
    </row>
    <row r="629" spans="1:14" s="36" customFormat="1" ht="14.1" customHeight="1" x14ac:dyDescent="0.25">
      <c r="A629" s="32" t="str">
        <f>IF(B629&lt;&gt;"",_xlfn.TEXTJOIN("-",1,COUNTIF($B$2:$B629,B629),B629:E629),"")</f>
        <v/>
      </c>
      <c r="B629" s="32"/>
      <c r="C629" s="32"/>
      <c r="D629" s="32"/>
      <c r="E629" s="32"/>
      <c r="F629" s="32"/>
      <c r="G629" s="32"/>
      <c r="H629" s="32"/>
      <c r="I629" s="32"/>
      <c r="J629" s="32"/>
      <c r="K629" s="32"/>
      <c r="L629" s="32"/>
      <c r="M629" s="32" t="str">
        <f t="shared" si="10"/>
        <v/>
      </c>
      <c r="N629" s="32"/>
    </row>
    <row r="630" spans="1:14" s="36" customFormat="1" ht="14.1" customHeight="1" x14ac:dyDescent="0.25">
      <c r="A630" s="32" t="str">
        <f>IF(B630&lt;&gt;"",_xlfn.TEXTJOIN("-",1,COUNTIF($B$2:$B630,B630),B630:E630),"")</f>
        <v/>
      </c>
      <c r="B630" s="32"/>
      <c r="C630" s="32"/>
      <c r="D630" s="32"/>
      <c r="E630" s="32"/>
      <c r="F630" s="32"/>
      <c r="G630" s="32"/>
      <c r="H630" s="32"/>
      <c r="I630" s="32"/>
      <c r="J630" s="32"/>
      <c r="K630" s="32"/>
      <c r="L630" s="32"/>
      <c r="M630" s="32" t="str">
        <f t="shared" si="10"/>
        <v/>
      </c>
      <c r="N630" s="32"/>
    </row>
    <row r="631" spans="1:14" s="36" customFormat="1" ht="14.1" customHeight="1" x14ac:dyDescent="0.25">
      <c r="A631" s="32" t="str">
        <f>IF(B631&lt;&gt;"",_xlfn.TEXTJOIN("-",1,COUNTIF($B$2:$B631,B631),B631:E631),"")</f>
        <v/>
      </c>
      <c r="B631" s="32"/>
      <c r="C631" s="32"/>
      <c r="D631" s="32"/>
      <c r="E631" s="32"/>
      <c r="F631" s="32"/>
      <c r="G631" s="32"/>
      <c r="H631" s="32"/>
      <c r="I631" s="32"/>
      <c r="J631" s="32"/>
      <c r="K631" s="32"/>
      <c r="L631" s="32"/>
      <c r="M631" s="32" t="str">
        <f t="shared" si="10"/>
        <v/>
      </c>
      <c r="N631" s="32"/>
    </row>
    <row r="632" spans="1:14" s="36" customFormat="1" ht="14.1" customHeight="1" x14ac:dyDescent="0.25">
      <c r="A632" s="32" t="str">
        <f>IF(B632&lt;&gt;"",_xlfn.TEXTJOIN("-",1,COUNTIF($B$2:$B632,B632),B632:E632),"")</f>
        <v/>
      </c>
      <c r="B632" s="32"/>
      <c r="C632" s="32"/>
      <c r="D632" s="32"/>
      <c r="E632" s="32"/>
      <c r="F632" s="32"/>
      <c r="G632" s="32"/>
      <c r="H632" s="32"/>
      <c r="I632" s="32"/>
      <c r="J632" s="32"/>
      <c r="K632" s="32"/>
      <c r="L632" s="32"/>
      <c r="M632" s="32" t="str">
        <f t="shared" si="10"/>
        <v/>
      </c>
      <c r="N632" s="32"/>
    </row>
    <row r="633" spans="1:14" s="36" customFormat="1" ht="14.1" customHeight="1" x14ac:dyDescent="0.25">
      <c r="A633" s="32" t="str">
        <f>IF(B633&lt;&gt;"",_xlfn.TEXTJOIN("-",1,COUNTIF($B$2:$B633,B633),B633:E633),"")</f>
        <v/>
      </c>
      <c r="B633" s="32"/>
      <c r="C633" s="32"/>
      <c r="D633" s="32"/>
      <c r="E633" s="32"/>
      <c r="F633" s="32"/>
      <c r="G633" s="32"/>
      <c r="H633" s="32"/>
      <c r="I633" s="32"/>
      <c r="J633" s="32"/>
      <c r="K633" s="32"/>
      <c r="L633" s="32"/>
      <c r="M633" s="32" t="str">
        <f t="shared" si="10"/>
        <v/>
      </c>
      <c r="N633" s="32"/>
    </row>
    <row r="634" spans="1:14" s="36" customFormat="1" ht="14.1" customHeight="1" x14ac:dyDescent="0.25">
      <c r="A634" s="32" t="str">
        <f>IF(B634&lt;&gt;"",_xlfn.TEXTJOIN("-",1,COUNTIF($B$2:$B634,B634),B634:E634),"")</f>
        <v/>
      </c>
      <c r="B634" s="32"/>
      <c r="C634" s="32"/>
      <c r="D634" s="32"/>
      <c r="E634" s="32"/>
      <c r="F634" s="32"/>
      <c r="G634" s="32"/>
      <c r="H634" s="32"/>
      <c r="I634" s="32"/>
      <c r="J634" s="32"/>
      <c r="K634" s="32"/>
      <c r="L634" s="32"/>
      <c r="M634" s="32" t="str">
        <f t="shared" si="10"/>
        <v/>
      </c>
      <c r="N634" s="32"/>
    </row>
    <row r="635" spans="1:14" s="36" customFormat="1" ht="14.1" customHeight="1" x14ac:dyDescent="0.25">
      <c r="A635" s="32" t="str">
        <f>IF(B635&lt;&gt;"",_xlfn.TEXTJOIN("-",1,COUNTIF($B$2:$B635,B635),B635:E635),"")</f>
        <v/>
      </c>
      <c r="B635" s="32"/>
      <c r="C635" s="32"/>
      <c r="D635" s="32"/>
      <c r="E635" s="32"/>
      <c r="F635" s="32"/>
      <c r="G635" s="32"/>
      <c r="H635" s="32"/>
      <c r="I635" s="32"/>
      <c r="J635" s="32"/>
      <c r="K635" s="32"/>
      <c r="L635" s="32"/>
      <c r="M635" s="32" t="str">
        <f t="shared" si="10"/>
        <v/>
      </c>
      <c r="N635" s="32"/>
    </row>
    <row r="636" spans="1:14" s="36" customFormat="1" ht="14.1" customHeight="1" x14ac:dyDescent="0.25">
      <c r="A636" s="32" t="str">
        <f>IF(B636&lt;&gt;"",_xlfn.TEXTJOIN("-",1,COUNTIF($B$2:$B636,B636),B636:E636),"")</f>
        <v/>
      </c>
      <c r="B636" s="32"/>
      <c r="C636" s="32"/>
      <c r="D636" s="32"/>
      <c r="E636" s="32"/>
      <c r="F636" s="32"/>
      <c r="G636" s="32"/>
      <c r="H636" s="32"/>
      <c r="I636" s="32"/>
      <c r="J636" s="32"/>
      <c r="K636" s="32"/>
      <c r="L636" s="32"/>
      <c r="M636" s="32" t="str">
        <f t="shared" si="10"/>
        <v/>
      </c>
      <c r="N636" s="32"/>
    </row>
    <row r="637" spans="1:14" s="36" customFormat="1" ht="14.1" customHeight="1" x14ac:dyDescent="0.25">
      <c r="A637" s="32" t="str">
        <f>IF(B637&lt;&gt;"",_xlfn.TEXTJOIN("-",1,COUNTIF($B$2:$B637,B637),B637:E637),"")</f>
        <v/>
      </c>
      <c r="B637" s="32"/>
      <c r="C637" s="32"/>
      <c r="D637" s="32"/>
      <c r="E637" s="32"/>
      <c r="F637" s="32"/>
      <c r="G637" s="32"/>
      <c r="H637" s="32"/>
      <c r="I637" s="32"/>
      <c r="J637" s="32"/>
      <c r="K637" s="32"/>
      <c r="L637" s="32"/>
      <c r="M637" s="32" t="str">
        <f t="shared" si="10"/>
        <v/>
      </c>
      <c r="N637" s="32"/>
    </row>
    <row r="638" spans="1:14" s="36" customFormat="1" ht="14.1" customHeight="1" x14ac:dyDescent="0.25">
      <c r="A638" s="32" t="str">
        <f>IF(B638&lt;&gt;"",_xlfn.TEXTJOIN("-",1,COUNTIF($B$2:$B638,B638),B638:E638),"")</f>
        <v/>
      </c>
      <c r="B638" s="32"/>
      <c r="C638" s="32"/>
      <c r="D638" s="32"/>
      <c r="E638" s="32"/>
      <c r="F638" s="32"/>
      <c r="G638" s="32"/>
      <c r="H638" s="32"/>
      <c r="I638" s="32"/>
      <c r="J638" s="32"/>
      <c r="K638" s="32"/>
      <c r="L638" s="32"/>
      <c r="M638" s="32" t="str">
        <f t="shared" si="10"/>
        <v/>
      </c>
      <c r="N638" s="32"/>
    </row>
    <row r="639" spans="1:14" s="36" customFormat="1" ht="14.1" customHeight="1" x14ac:dyDescent="0.25">
      <c r="A639" s="32" t="str">
        <f>IF(B639&lt;&gt;"",_xlfn.TEXTJOIN("-",1,COUNTIF($B$2:$B639,B639),B639:E639),"")</f>
        <v/>
      </c>
      <c r="B639" s="32"/>
      <c r="C639" s="32"/>
      <c r="D639" s="32"/>
      <c r="E639" s="32"/>
      <c r="F639" s="32"/>
      <c r="G639" s="32"/>
      <c r="H639" s="32"/>
      <c r="I639" s="32"/>
      <c r="J639" s="32"/>
      <c r="K639" s="32"/>
      <c r="L639" s="32"/>
      <c r="M639" s="32" t="str">
        <f t="shared" si="10"/>
        <v/>
      </c>
      <c r="N639" s="32"/>
    </row>
    <row r="640" spans="1:14" s="36" customFormat="1" ht="14.1" customHeight="1" x14ac:dyDescent="0.25">
      <c r="A640" s="32" t="str">
        <f>IF(B640&lt;&gt;"",_xlfn.TEXTJOIN("-",1,COUNTIF($B$2:$B640,B640),B640:E640),"")</f>
        <v/>
      </c>
      <c r="B640" s="32"/>
      <c r="C640" s="32"/>
      <c r="D640" s="32"/>
      <c r="E640" s="32"/>
      <c r="F640" s="32"/>
      <c r="G640" s="32"/>
      <c r="H640" s="32"/>
      <c r="I640" s="32"/>
      <c r="J640" s="32"/>
      <c r="K640" s="32"/>
      <c r="L640" s="32"/>
      <c r="M640" s="32" t="str">
        <f t="shared" si="10"/>
        <v/>
      </c>
      <c r="N640" s="32"/>
    </row>
    <row r="641" spans="1:14" s="36" customFormat="1" ht="14.1" customHeight="1" x14ac:dyDescent="0.25">
      <c r="A641" s="32" t="str">
        <f>IF(B641&lt;&gt;"",_xlfn.TEXTJOIN("-",1,COUNTIF($B$2:$B641,B641),B641:E641),"")</f>
        <v/>
      </c>
      <c r="B641" s="32"/>
      <c r="C641" s="32"/>
      <c r="D641" s="32"/>
      <c r="E641" s="32"/>
      <c r="F641" s="32"/>
      <c r="G641" s="32"/>
      <c r="H641" s="32"/>
      <c r="I641" s="32"/>
      <c r="J641" s="32"/>
      <c r="K641" s="32"/>
      <c r="L641" s="32"/>
      <c r="M641" s="32" t="str">
        <f t="shared" si="10"/>
        <v/>
      </c>
      <c r="N641" s="32"/>
    </row>
    <row r="642" spans="1:14" s="36" customFormat="1" ht="14.1" customHeight="1" x14ac:dyDescent="0.25">
      <c r="A642" s="32" t="str">
        <f>IF(B642&lt;&gt;"",_xlfn.TEXTJOIN("-",1,COUNTIF($B$2:$B642,B642),B642:E642),"")</f>
        <v/>
      </c>
      <c r="B642" s="32"/>
      <c r="C642" s="32"/>
      <c r="D642" s="32"/>
      <c r="E642" s="32"/>
      <c r="F642" s="32"/>
      <c r="G642" s="32"/>
      <c r="H642" s="32"/>
      <c r="I642" s="32"/>
      <c r="J642" s="32"/>
      <c r="K642" s="32"/>
      <c r="L642" s="32"/>
      <c r="M642" s="32" t="str">
        <f t="shared" si="10"/>
        <v/>
      </c>
      <c r="N642" s="32"/>
    </row>
    <row r="643" spans="1:14" s="36" customFormat="1" ht="14.1" customHeight="1" x14ac:dyDescent="0.25">
      <c r="A643" s="32" t="str">
        <f>IF(B643&lt;&gt;"",_xlfn.TEXTJOIN("-",1,COUNTIF($B$2:$B643,B643),B643:E643),"")</f>
        <v/>
      </c>
      <c r="B643" s="32"/>
      <c r="C643" s="32"/>
      <c r="D643" s="32"/>
      <c r="E643" s="32"/>
      <c r="F643" s="32"/>
      <c r="G643" s="32"/>
      <c r="H643" s="32"/>
      <c r="I643" s="32"/>
      <c r="J643" s="32"/>
      <c r="K643" s="32"/>
      <c r="L643" s="32"/>
      <c r="M643" s="32" t="str">
        <f t="shared" ref="M643:M706" si="11">IF(B643="FN",_xlfn.CONCAT("egor.v.ivanov+",LEFT(C643,1),"_",LEFT(D643,2),"_",E643,"@outlook.com"),"")</f>
        <v/>
      </c>
      <c r="N643" s="32"/>
    </row>
    <row r="644" spans="1:14" s="36" customFormat="1" ht="14.1" customHeight="1" x14ac:dyDescent="0.25">
      <c r="A644" s="32" t="str">
        <f>IF(B644&lt;&gt;"",_xlfn.TEXTJOIN("-",1,COUNTIF($B$2:$B644,B644),B644:E644),"")</f>
        <v/>
      </c>
      <c r="B644" s="32"/>
      <c r="C644" s="32"/>
      <c r="D644" s="32"/>
      <c r="E644" s="32"/>
      <c r="F644" s="32"/>
      <c r="G644" s="32"/>
      <c r="H644" s="32"/>
      <c r="I644" s="32"/>
      <c r="J644" s="32"/>
      <c r="K644" s="32"/>
      <c r="L644" s="32"/>
      <c r="M644" s="32" t="str">
        <f t="shared" si="11"/>
        <v/>
      </c>
      <c r="N644" s="32"/>
    </row>
    <row r="645" spans="1:14" s="36" customFormat="1" ht="14.1" customHeight="1" x14ac:dyDescent="0.25">
      <c r="A645" s="32" t="str">
        <f>IF(B645&lt;&gt;"",_xlfn.TEXTJOIN("-",1,COUNTIF($B$2:$B645,B645),B645:E645),"")</f>
        <v/>
      </c>
      <c r="B645" s="32"/>
      <c r="C645" s="32"/>
      <c r="D645" s="32"/>
      <c r="E645" s="32"/>
      <c r="F645" s="32"/>
      <c r="G645" s="32"/>
      <c r="H645" s="32"/>
      <c r="I645" s="32"/>
      <c r="J645" s="32"/>
      <c r="K645" s="32"/>
      <c r="L645" s="32"/>
      <c r="M645" s="32" t="str">
        <f t="shared" si="11"/>
        <v/>
      </c>
      <c r="N645" s="32"/>
    </row>
    <row r="646" spans="1:14" s="36" customFormat="1" ht="14.1" customHeight="1" x14ac:dyDescent="0.25">
      <c r="A646" s="32" t="str">
        <f>IF(B646&lt;&gt;"",_xlfn.TEXTJOIN("-",1,COUNTIF($B$2:$B646,B646),B646:E646),"")</f>
        <v/>
      </c>
      <c r="B646" s="32"/>
      <c r="C646" s="32"/>
      <c r="D646" s="32"/>
      <c r="E646" s="32"/>
      <c r="F646" s="32"/>
      <c r="G646" s="32"/>
      <c r="H646" s="32"/>
      <c r="I646" s="32"/>
      <c r="J646" s="32"/>
      <c r="K646" s="32"/>
      <c r="L646" s="32"/>
      <c r="M646" s="32" t="str">
        <f t="shared" si="11"/>
        <v/>
      </c>
      <c r="N646" s="32"/>
    </row>
    <row r="647" spans="1:14" s="36" customFormat="1" ht="14.1" customHeight="1" x14ac:dyDescent="0.25">
      <c r="A647" s="32" t="str">
        <f>IF(B647&lt;&gt;"",_xlfn.TEXTJOIN("-",1,COUNTIF($B$2:$B647,B647),B647:E647),"")</f>
        <v/>
      </c>
      <c r="B647" s="32"/>
      <c r="C647" s="32"/>
      <c r="D647" s="32"/>
      <c r="E647" s="32"/>
      <c r="F647" s="32"/>
      <c r="G647" s="32"/>
      <c r="H647" s="32"/>
      <c r="I647" s="32"/>
      <c r="J647" s="32"/>
      <c r="K647" s="32"/>
      <c r="L647" s="32"/>
      <c r="M647" s="32" t="str">
        <f t="shared" si="11"/>
        <v/>
      </c>
      <c r="N647" s="32"/>
    </row>
    <row r="648" spans="1:14" s="36" customFormat="1" ht="14.1" customHeight="1" x14ac:dyDescent="0.25">
      <c r="A648" s="32" t="str">
        <f>IF(B648&lt;&gt;"",_xlfn.TEXTJOIN("-",1,COUNTIF($B$2:$B648,B648),B648:E648),"")</f>
        <v/>
      </c>
      <c r="B648" s="32"/>
      <c r="C648" s="32"/>
      <c r="D648" s="32"/>
      <c r="E648" s="32"/>
      <c r="F648" s="32"/>
      <c r="G648" s="32"/>
      <c r="H648" s="32"/>
      <c r="I648" s="32"/>
      <c r="J648" s="32"/>
      <c r="K648" s="32"/>
      <c r="L648" s="32"/>
      <c r="M648" s="32" t="str">
        <f t="shared" si="11"/>
        <v/>
      </c>
      <c r="N648" s="32"/>
    </row>
    <row r="649" spans="1:14" s="36" customFormat="1" ht="14.1" customHeight="1" x14ac:dyDescent="0.25">
      <c r="A649" s="32" t="str">
        <f>IF(B649&lt;&gt;"",_xlfn.TEXTJOIN("-",1,COUNTIF($B$2:$B649,B649),B649:E649),"")</f>
        <v/>
      </c>
      <c r="B649" s="32"/>
      <c r="C649" s="32"/>
      <c r="D649" s="32"/>
      <c r="E649" s="32"/>
      <c r="F649" s="32"/>
      <c r="G649" s="32"/>
      <c r="H649" s="32"/>
      <c r="I649" s="32"/>
      <c r="J649" s="32"/>
      <c r="K649" s="32"/>
      <c r="L649" s="32"/>
      <c r="M649" s="32" t="str">
        <f t="shared" si="11"/>
        <v/>
      </c>
      <c r="N649" s="32"/>
    </row>
    <row r="650" spans="1:14" s="36" customFormat="1" ht="14.1" customHeight="1" x14ac:dyDescent="0.25">
      <c r="A650" s="32" t="str">
        <f>IF(B650&lt;&gt;"",_xlfn.TEXTJOIN("-",1,COUNTIF($B$2:$B650,B650),B650:E650),"")</f>
        <v/>
      </c>
      <c r="B650" s="32"/>
      <c r="C650" s="32"/>
      <c r="D650" s="32"/>
      <c r="E650" s="32"/>
      <c r="F650" s="32"/>
      <c r="G650" s="32"/>
      <c r="H650" s="32"/>
      <c r="I650" s="32"/>
      <c r="J650" s="32"/>
      <c r="K650" s="32"/>
      <c r="L650" s="32"/>
      <c r="M650" s="32" t="str">
        <f t="shared" si="11"/>
        <v/>
      </c>
      <c r="N650" s="32"/>
    </row>
    <row r="651" spans="1:14" s="36" customFormat="1" ht="14.1" customHeight="1" x14ac:dyDescent="0.25">
      <c r="A651" s="32" t="str">
        <f>IF(B651&lt;&gt;"",_xlfn.TEXTJOIN("-",1,COUNTIF($B$2:$B651,B651),B651:E651),"")</f>
        <v/>
      </c>
      <c r="B651" s="32"/>
      <c r="C651" s="32"/>
      <c r="D651" s="32"/>
      <c r="E651" s="32"/>
      <c r="F651" s="32"/>
      <c r="G651" s="32"/>
      <c r="H651" s="32"/>
      <c r="I651" s="32"/>
      <c r="J651" s="32"/>
      <c r="K651" s="32"/>
      <c r="L651" s="32"/>
      <c r="M651" s="32" t="str">
        <f t="shared" si="11"/>
        <v/>
      </c>
      <c r="N651" s="32"/>
    </row>
    <row r="652" spans="1:14" s="36" customFormat="1" ht="14.1" customHeight="1" x14ac:dyDescent="0.25">
      <c r="A652" s="32" t="str">
        <f>IF(B652&lt;&gt;"",_xlfn.TEXTJOIN("-",1,COUNTIF($B$2:$B652,B652),B652:E652),"")</f>
        <v/>
      </c>
      <c r="B652" s="32"/>
      <c r="C652" s="32"/>
      <c r="D652" s="32"/>
      <c r="E652" s="32"/>
      <c r="F652" s="32"/>
      <c r="G652" s="32"/>
      <c r="H652" s="32"/>
      <c r="I652" s="32"/>
      <c r="J652" s="32"/>
      <c r="K652" s="32"/>
      <c r="L652" s="32"/>
      <c r="M652" s="32" t="str">
        <f t="shared" si="11"/>
        <v/>
      </c>
      <c r="N652" s="32"/>
    </row>
    <row r="653" spans="1:14" s="36" customFormat="1" ht="14.1" customHeight="1" x14ac:dyDescent="0.25">
      <c r="A653" s="32" t="str">
        <f>IF(B653&lt;&gt;"",_xlfn.TEXTJOIN("-",1,COUNTIF($B$2:$B653,B653),B653:E653),"")</f>
        <v/>
      </c>
      <c r="B653" s="32"/>
      <c r="C653" s="32"/>
      <c r="D653" s="32"/>
      <c r="E653" s="32"/>
      <c r="F653" s="32"/>
      <c r="G653" s="32"/>
      <c r="H653" s="32"/>
      <c r="I653" s="32"/>
      <c r="J653" s="32"/>
      <c r="K653" s="32"/>
      <c r="L653" s="32"/>
      <c r="M653" s="32" t="str">
        <f t="shared" si="11"/>
        <v/>
      </c>
      <c r="N653" s="32"/>
    </row>
    <row r="654" spans="1:14" s="36" customFormat="1" ht="14.1" customHeight="1" x14ac:dyDescent="0.25">
      <c r="A654" s="32" t="str">
        <f>IF(B654&lt;&gt;"",_xlfn.TEXTJOIN("-",1,COUNTIF($B$2:$B654,B654),B654:E654),"")</f>
        <v/>
      </c>
      <c r="B654" s="32"/>
      <c r="C654" s="32"/>
      <c r="D654" s="32"/>
      <c r="E654" s="32"/>
      <c r="F654" s="32"/>
      <c r="G654" s="32"/>
      <c r="H654" s="32"/>
      <c r="I654" s="32"/>
      <c r="J654" s="32"/>
      <c r="K654" s="32"/>
      <c r="L654" s="32"/>
      <c r="M654" s="32" t="str">
        <f t="shared" si="11"/>
        <v/>
      </c>
      <c r="N654" s="32"/>
    </row>
    <row r="655" spans="1:14" s="36" customFormat="1" ht="14.1" customHeight="1" x14ac:dyDescent="0.25">
      <c r="A655" s="32" t="str">
        <f>IF(B655&lt;&gt;"",_xlfn.TEXTJOIN("-",1,COUNTIF($B$2:$B655,B655),B655:E655),"")</f>
        <v/>
      </c>
      <c r="B655" s="32"/>
      <c r="C655" s="32"/>
      <c r="D655" s="32"/>
      <c r="E655" s="32"/>
      <c r="F655" s="32"/>
      <c r="G655" s="32"/>
      <c r="H655" s="32"/>
      <c r="I655" s="32"/>
      <c r="J655" s="32"/>
      <c r="K655" s="32"/>
      <c r="L655" s="32"/>
      <c r="M655" s="32" t="str">
        <f t="shared" si="11"/>
        <v/>
      </c>
      <c r="N655" s="32"/>
    </row>
    <row r="656" spans="1:14" s="36" customFormat="1" ht="14.1" customHeight="1" x14ac:dyDescent="0.25">
      <c r="A656" s="32" t="str">
        <f>IF(B656&lt;&gt;"",_xlfn.TEXTJOIN("-",1,COUNTIF($B$2:$B656,B656),B656:E656),"")</f>
        <v/>
      </c>
      <c r="B656" s="32"/>
      <c r="C656" s="32"/>
      <c r="D656" s="32"/>
      <c r="E656" s="32"/>
      <c r="F656" s="32"/>
      <c r="G656" s="32"/>
      <c r="H656" s="32"/>
      <c r="I656" s="32"/>
      <c r="J656" s="32"/>
      <c r="K656" s="32"/>
      <c r="L656" s="32"/>
      <c r="M656" s="32" t="str">
        <f t="shared" si="11"/>
        <v/>
      </c>
      <c r="N656" s="32"/>
    </row>
    <row r="657" spans="1:14" s="36" customFormat="1" ht="14.1" customHeight="1" x14ac:dyDescent="0.25">
      <c r="A657" s="32" t="str">
        <f>IF(B657&lt;&gt;"",_xlfn.TEXTJOIN("-",1,COUNTIF($B$2:$B657,B657),B657:E657),"")</f>
        <v/>
      </c>
      <c r="B657" s="32"/>
      <c r="C657" s="32"/>
      <c r="D657" s="32"/>
      <c r="E657" s="32"/>
      <c r="F657" s="32"/>
      <c r="G657" s="32"/>
      <c r="H657" s="32"/>
      <c r="I657" s="32"/>
      <c r="J657" s="32"/>
      <c r="K657" s="32"/>
      <c r="L657" s="32"/>
      <c r="M657" s="32" t="str">
        <f t="shared" si="11"/>
        <v/>
      </c>
      <c r="N657" s="32"/>
    </row>
    <row r="658" spans="1:14" s="36" customFormat="1" ht="14.1" customHeight="1" x14ac:dyDescent="0.25">
      <c r="A658" s="32" t="str">
        <f>IF(B658&lt;&gt;"",_xlfn.TEXTJOIN("-",1,COUNTIF($B$2:$B658,B658),B658:E658),"")</f>
        <v/>
      </c>
      <c r="B658" s="32"/>
      <c r="C658" s="32"/>
      <c r="D658" s="32"/>
      <c r="E658" s="32"/>
      <c r="F658" s="32"/>
      <c r="G658" s="32"/>
      <c r="H658" s="32"/>
      <c r="I658" s="32"/>
      <c r="J658" s="32"/>
      <c r="K658" s="32"/>
      <c r="L658" s="32"/>
      <c r="M658" s="32" t="str">
        <f t="shared" si="11"/>
        <v/>
      </c>
      <c r="N658" s="32"/>
    </row>
    <row r="659" spans="1:14" s="36" customFormat="1" ht="14.1" customHeight="1" x14ac:dyDescent="0.25">
      <c r="A659" s="32" t="str">
        <f>IF(B659&lt;&gt;"",_xlfn.TEXTJOIN("-",1,COUNTIF($B$2:$B659,B659),B659:E659),"")</f>
        <v/>
      </c>
      <c r="B659" s="32"/>
      <c r="C659" s="32"/>
      <c r="D659" s="32"/>
      <c r="E659" s="32"/>
      <c r="F659" s="32"/>
      <c r="G659" s="32"/>
      <c r="H659" s="32"/>
      <c r="I659" s="32"/>
      <c r="J659" s="32"/>
      <c r="K659" s="32"/>
      <c r="L659" s="32"/>
      <c r="M659" s="32" t="str">
        <f t="shared" si="11"/>
        <v/>
      </c>
      <c r="N659" s="32"/>
    </row>
    <row r="660" spans="1:14" s="36" customFormat="1" ht="14.1" customHeight="1" x14ac:dyDescent="0.25">
      <c r="A660" s="32" t="str">
        <f>IF(B660&lt;&gt;"",_xlfn.TEXTJOIN("-",1,COUNTIF($B$2:$B660,B660),B660:E660),"")</f>
        <v/>
      </c>
      <c r="B660" s="32"/>
      <c r="C660" s="32"/>
      <c r="D660" s="32"/>
      <c r="E660" s="32"/>
      <c r="F660" s="32"/>
      <c r="G660" s="32"/>
      <c r="H660" s="32"/>
      <c r="I660" s="32"/>
      <c r="J660" s="32"/>
      <c r="K660" s="32"/>
      <c r="L660" s="32"/>
      <c r="M660" s="32" t="str">
        <f t="shared" si="11"/>
        <v/>
      </c>
      <c r="N660" s="32"/>
    </row>
    <row r="661" spans="1:14" s="36" customFormat="1" ht="14.1" customHeight="1" x14ac:dyDescent="0.25">
      <c r="A661" s="32" t="str">
        <f>IF(B661&lt;&gt;"",_xlfn.TEXTJOIN("-",1,COUNTIF($B$2:$B661,B661),B661:E661),"")</f>
        <v/>
      </c>
      <c r="B661" s="32"/>
      <c r="C661" s="32"/>
      <c r="D661" s="32"/>
      <c r="E661" s="32"/>
      <c r="F661" s="32"/>
      <c r="G661" s="32"/>
      <c r="H661" s="32"/>
      <c r="I661" s="32"/>
      <c r="J661" s="32"/>
      <c r="K661" s="32"/>
      <c r="L661" s="32"/>
      <c r="M661" s="32" t="str">
        <f t="shared" si="11"/>
        <v/>
      </c>
      <c r="N661" s="32"/>
    </row>
    <row r="662" spans="1:14" s="36" customFormat="1" ht="14.1" customHeight="1" x14ac:dyDescent="0.25">
      <c r="A662" s="32" t="str">
        <f>IF(B662&lt;&gt;"",_xlfn.TEXTJOIN("-",1,COUNTIF($B$2:$B662,B662),B662:E662),"")</f>
        <v/>
      </c>
      <c r="B662" s="32"/>
      <c r="C662" s="32"/>
      <c r="D662" s="32"/>
      <c r="E662" s="32"/>
      <c r="F662" s="32"/>
      <c r="G662" s="32"/>
      <c r="H662" s="32"/>
      <c r="I662" s="32"/>
      <c r="J662" s="32"/>
      <c r="K662" s="32"/>
      <c r="L662" s="32"/>
      <c r="M662" s="32" t="str">
        <f t="shared" si="11"/>
        <v/>
      </c>
      <c r="N662" s="32"/>
    </row>
    <row r="663" spans="1:14" s="36" customFormat="1" ht="14.1" customHeight="1" x14ac:dyDescent="0.25">
      <c r="A663" s="32" t="str">
        <f>IF(B663&lt;&gt;"",_xlfn.TEXTJOIN("-",1,COUNTIF($B$2:$B663,B663),B663:E663),"")</f>
        <v/>
      </c>
      <c r="B663" s="32"/>
      <c r="C663" s="32"/>
      <c r="D663" s="32"/>
      <c r="E663" s="32"/>
      <c r="F663" s="32"/>
      <c r="G663" s="32"/>
      <c r="H663" s="32"/>
      <c r="I663" s="32"/>
      <c r="J663" s="32"/>
      <c r="K663" s="32"/>
      <c r="L663" s="32"/>
      <c r="M663" s="32" t="str">
        <f t="shared" si="11"/>
        <v/>
      </c>
      <c r="N663" s="32"/>
    </row>
    <row r="664" spans="1:14" s="36" customFormat="1" ht="14.1" customHeight="1" x14ac:dyDescent="0.25">
      <c r="A664" s="32" t="str">
        <f>IF(B664&lt;&gt;"",_xlfn.TEXTJOIN("-",1,COUNTIF($B$2:$B664,B664),B664:E664),"")</f>
        <v/>
      </c>
      <c r="B664" s="32"/>
      <c r="C664" s="32"/>
      <c r="D664" s="32"/>
      <c r="E664" s="32"/>
      <c r="F664" s="32"/>
      <c r="G664" s="32"/>
      <c r="H664" s="32"/>
      <c r="I664" s="32"/>
      <c r="J664" s="32"/>
      <c r="K664" s="32"/>
      <c r="L664" s="32"/>
      <c r="M664" s="32" t="str">
        <f t="shared" si="11"/>
        <v/>
      </c>
      <c r="N664" s="32"/>
    </row>
    <row r="665" spans="1:14" s="36" customFormat="1" ht="14.1" customHeight="1" x14ac:dyDescent="0.25">
      <c r="A665" s="32" t="str">
        <f>IF(B665&lt;&gt;"",_xlfn.TEXTJOIN("-",1,COUNTIF($B$2:$B665,B665),B665:E665),"")</f>
        <v/>
      </c>
      <c r="B665" s="32"/>
      <c r="C665" s="32"/>
      <c r="D665" s="32"/>
      <c r="E665" s="32"/>
      <c r="F665" s="32"/>
      <c r="G665" s="32"/>
      <c r="H665" s="32"/>
      <c r="I665" s="32"/>
      <c r="J665" s="32"/>
      <c r="K665" s="32"/>
      <c r="L665" s="32"/>
      <c r="M665" s="32" t="str">
        <f t="shared" si="11"/>
        <v/>
      </c>
      <c r="N665" s="32"/>
    </row>
    <row r="666" spans="1:14" s="36" customFormat="1" ht="14.1" customHeight="1" x14ac:dyDescent="0.25">
      <c r="A666" s="32" t="str">
        <f>IF(B666&lt;&gt;"",_xlfn.TEXTJOIN("-",1,COUNTIF($B$2:$B666,B666),B666:E666),"")</f>
        <v/>
      </c>
      <c r="B666" s="32"/>
      <c r="C666" s="32"/>
      <c r="D666" s="32"/>
      <c r="E666" s="32"/>
      <c r="F666" s="32"/>
      <c r="G666" s="32"/>
      <c r="H666" s="32"/>
      <c r="I666" s="32"/>
      <c r="J666" s="32"/>
      <c r="K666" s="32"/>
      <c r="L666" s="32"/>
      <c r="M666" s="32" t="str">
        <f t="shared" si="11"/>
        <v/>
      </c>
      <c r="N666" s="32"/>
    </row>
    <row r="667" spans="1:14" s="36" customFormat="1" ht="14.1" customHeight="1" x14ac:dyDescent="0.25">
      <c r="A667" s="32" t="str">
        <f>IF(B667&lt;&gt;"",_xlfn.TEXTJOIN("-",1,COUNTIF($B$2:$B667,B667),B667:E667),"")</f>
        <v/>
      </c>
      <c r="B667" s="32"/>
      <c r="C667" s="32"/>
      <c r="D667" s="32"/>
      <c r="E667" s="32"/>
      <c r="F667" s="32"/>
      <c r="G667" s="32"/>
      <c r="H667" s="32"/>
      <c r="I667" s="32"/>
      <c r="J667" s="32"/>
      <c r="K667" s="32"/>
      <c r="L667" s="32"/>
      <c r="M667" s="32" t="str">
        <f t="shared" si="11"/>
        <v/>
      </c>
      <c r="N667" s="32"/>
    </row>
    <row r="668" spans="1:14" s="36" customFormat="1" ht="14.1" customHeight="1" x14ac:dyDescent="0.25">
      <c r="A668" s="32" t="str">
        <f>IF(B668&lt;&gt;"",_xlfn.TEXTJOIN("-",1,COUNTIF($B$2:$B668,B668),B668:E668),"")</f>
        <v/>
      </c>
      <c r="B668" s="32"/>
      <c r="C668" s="32"/>
      <c r="D668" s="32"/>
      <c r="E668" s="32"/>
      <c r="F668" s="32"/>
      <c r="G668" s="32"/>
      <c r="H668" s="32"/>
      <c r="I668" s="32"/>
      <c r="J668" s="32"/>
      <c r="K668" s="32"/>
      <c r="L668" s="32"/>
      <c r="M668" s="32" t="str">
        <f t="shared" si="11"/>
        <v/>
      </c>
      <c r="N668" s="32"/>
    </row>
    <row r="669" spans="1:14" s="36" customFormat="1" ht="14.1" customHeight="1" x14ac:dyDescent="0.25">
      <c r="A669" s="32" t="str">
        <f>IF(B669&lt;&gt;"",_xlfn.TEXTJOIN("-",1,COUNTIF($B$2:$B669,B669),B669:E669),"")</f>
        <v/>
      </c>
      <c r="B669" s="32"/>
      <c r="C669" s="32"/>
      <c r="D669" s="32"/>
      <c r="E669" s="32"/>
      <c r="F669" s="32"/>
      <c r="G669" s="32"/>
      <c r="H669" s="32"/>
      <c r="I669" s="32"/>
      <c r="J669" s="32"/>
      <c r="K669" s="32"/>
      <c r="L669" s="32"/>
      <c r="M669" s="32" t="str">
        <f t="shared" si="11"/>
        <v/>
      </c>
      <c r="N669" s="32"/>
    </row>
    <row r="670" spans="1:14" s="36" customFormat="1" ht="14.1" customHeight="1" x14ac:dyDescent="0.25">
      <c r="A670" s="32" t="str">
        <f>IF(B670&lt;&gt;"",_xlfn.TEXTJOIN("-",1,COUNTIF($B$2:$B670,B670),B670:E670),"")</f>
        <v/>
      </c>
      <c r="B670" s="32"/>
      <c r="C670" s="32"/>
      <c r="D670" s="32"/>
      <c r="E670" s="32"/>
      <c r="F670" s="32"/>
      <c r="G670" s="32"/>
      <c r="H670" s="32"/>
      <c r="I670" s="32"/>
      <c r="J670" s="32"/>
      <c r="K670" s="32"/>
      <c r="L670" s="32"/>
      <c r="M670" s="32" t="str">
        <f t="shared" si="11"/>
        <v/>
      </c>
      <c r="N670" s="32"/>
    </row>
    <row r="671" spans="1:14" s="36" customFormat="1" ht="14.1" customHeight="1" x14ac:dyDescent="0.25">
      <c r="A671" s="32" t="str">
        <f>IF(B671&lt;&gt;"",_xlfn.TEXTJOIN("-",1,COUNTIF($B$2:$B671,B671),B671:E671),"")</f>
        <v/>
      </c>
      <c r="B671" s="32"/>
      <c r="C671" s="32"/>
      <c r="D671" s="32"/>
      <c r="E671" s="32"/>
      <c r="F671" s="32"/>
      <c r="G671" s="32"/>
      <c r="H671" s="32"/>
      <c r="I671" s="32"/>
      <c r="J671" s="32"/>
      <c r="K671" s="32"/>
      <c r="L671" s="32"/>
      <c r="M671" s="32" t="str">
        <f t="shared" si="11"/>
        <v/>
      </c>
      <c r="N671" s="32"/>
    </row>
    <row r="672" spans="1:14" s="36" customFormat="1" ht="14.1" customHeight="1" x14ac:dyDescent="0.25">
      <c r="A672" s="32" t="str">
        <f>IF(B672&lt;&gt;"",_xlfn.TEXTJOIN("-",1,COUNTIF($B$2:$B672,B672),B672:E672),"")</f>
        <v/>
      </c>
      <c r="B672" s="32"/>
      <c r="C672" s="32"/>
      <c r="D672" s="32"/>
      <c r="E672" s="32"/>
      <c r="F672" s="32"/>
      <c r="G672" s="32"/>
      <c r="H672" s="32"/>
      <c r="I672" s="32"/>
      <c r="J672" s="32"/>
      <c r="K672" s="32"/>
      <c r="L672" s="32"/>
      <c r="M672" s="32" t="str">
        <f t="shared" si="11"/>
        <v/>
      </c>
      <c r="N672" s="32"/>
    </row>
    <row r="673" spans="1:14" s="36" customFormat="1" ht="14.1" customHeight="1" x14ac:dyDescent="0.25">
      <c r="A673" s="32" t="str">
        <f>IF(B673&lt;&gt;"",_xlfn.TEXTJOIN("-",1,COUNTIF($B$2:$B673,B673),B673:E673),"")</f>
        <v/>
      </c>
      <c r="B673" s="32"/>
      <c r="C673" s="32"/>
      <c r="D673" s="32"/>
      <c r="E673" s="32"/>
      <c r="F673" s="32"/>
      <c r="G673" s="32"/>
      <c r="H673" s="32"/>
      <c r="I673" s="32"/>
      <c r="J673" s="32"/>
      <c r="K673" s="32"/>
      <c r="L673" s="32"/>
      <c r="M673" s="32" t="str">
        <f t="shared" si="11"/>
        <v/>
      </c>
      <c r="N673" s="32"/>
    </row>
    <row r="674" spans="1:14" s="36" customFormat="1" ht="14.1" customHeight="1" x14ac:dyDescent="0.25">
      <c r="A674" s="32" t="str">
        <f>IF(B674&lt;&gt;"",_xlfn.TEXTJOIN("-",1,COUNTIF($B$2:$B674,B674),B674:E674),"")</f>
        <v/>
      </c>
      <c r="B674" s="32"/>
      <c r="C674" s="32"/>
      <c r="D674" s="32"/>
      <c r="E674" s="32"/>
      <c r="F674" s="32"/>
      <c r="G674" s="32"/>
      <c r="H674" s="32"/>
      <c r="I674" s="32"/>
      <c r="J674" s="32"/>
      <c r="K674" s="32"/>
      <c r="L674" s="32"/>
      <c r="M674" s="32" t="str">
        <f t="shared" si="11"/>
        <v/>
      </c>
      <c r="N674" s="32"/>
    </row>
    <row r="675" spans="1:14" s="36" customFormat="1" ht="14.1" customHeight="1" x14ac:dyDescent="0.25">
      <c r="A675" s="32" t="str">
        <f>IF(B675&lt;&gt;"",_xlfn.TEXTJOIN("-",1,COUNTIF($B$2:$B675,B675),B675:E675),"")</f>
        <v/>
      </c>
      <c r="B675" s="32"/>
      <c r="C675" s="32"/>
      <c r="D675" s="32"/>
      <c r="E675" s="32"/>
      <c r="F675" s="32"/>
      <c r="G675" s="32"/>
      <c r="H675" s="32"/>
      <c r="I675" s="32"/>
      <c r="J675" s="32"/>
      <c r="K675" s="32"/>
      <c r="L675" s="32"/>
      <c r="M675" s="32" t="str">
        <f t="shared" si="11"/>
        <v/>
      </c>
      <c r="N675" s="32"/>
    </row>
    <row r="676" spans="1:14" s="36" customFormat="1" ht="14.1" customHeight="1" x14ac:dyDescent="0.25">
      <c r="A676" s="32" t="str">
        <f>IF(B676&lt;&gt;"",_xlfn.TEXTJOIN("-",1,COUNTIF($B$2:$B676,B676),B676:E676),"")</f>
        <v/>
      </c>
      <c r="B676" s="32"/>
      <c r="C676" s="32"/>
      <c r="D676" s="32"/>
      <c r="E676" s="32"/>
      <c r="F676" s="32"/>
      <c r="G676" s="32"/>
      <c r="H676" s="32"/>
      <c r="I676" s="32"/>
      <c r="J676" s="32"/>
      <c r="K676" s="32"/>
      <c r="L676" s="32"/>
      <c r="M676" s="32" t="str">
        <f t="shared" si="11"/>
        <v/>
      </c>
      <c r="N676" s="32"/>
    </row>
    <row r="677" spans="1:14" s="36" customFormat="1" ht="14.1" customHeight="1" x14ac:dyDescent="0.25">
      <c r="A677" s="32" t="str">
        <f>IF(B677&lt;&gt;"",_xlfn.TEXTJOIN("-",1,COUNTIF($B$2:$B677,B677),B677:E677),"")</f>
        <v/>
      </c>
      <c r="B677" s="32"/>
      <c r="C677" s="32"/>
      <c r="D677" s="32"/>
      <c r="E677" s="32"/>
      <c r="F677" s="32"/>
      <c r="G677" s="32"/>
      <c r="H677" s="32"/>
      <c r="I677" s="32"/>
      <c r="J677" s="32"/>
      <c r="K677" s="32"/>
      <c r="L677" s="32"/>
      <c r="M677" s="32" t="str">
        <f t="shared" si="11"/>
        <v/>
      </c>
      <c r="N677" s="32"/>
    </row>
    <row r="678" spans="1:14" s="36" customFormat="1" ht="14.1" customHeight="1" x14ac:dyDescent="0.25">
      <c r="A678" s="32" t="str">
        <f>IF(B678&lt;&gt;"",_xlfn.TEXTJOIN("-",1,COUNTIF($B$2:$B678,B678),B678:E678),"")</f>
        <v/>
      </c>
      <c r="B678" s="32"/>
      <c r="C678" s="32"/>
      <c r="D678" s="32"/>
      <c r="E678" s="32"/>
      <c r="F678" s="32"/>
      <c r="G678" s="32"/>
      <c r="H678" s="32"/>
      <c r="I678" s="32"/>
      <c r="J678" s="32"/>
      <c r="K678" s="32"/>
      <c r="L678" s="32"/>
      <c r="M678" s="32" t="str">
        <f t="shared" si="11"/>
        <v/>
      </c>
      <c r="N678" s="32"/>
    </row>
    <row r="679" spans="1:14" s="36" customFormat="1" ht="14.1" customHeight="1" x14ac:dyDescent="0.25">
      <c r="A679" s="32" t="str">
        <f>IF(B679&lt;&gt;"",_xlfn.TEXTJOIN("-",1,COUNTIF($B$2:$B679,B679),B679:E679),"")</f>
        <v/>
      </c>
      <c r="B679" s="32"/>
      <c r="C679" s="32"/>
      <c r="D679" s="32"/>
      <c r="E679" s="32"/>
      <c r="F679" s="32"/>
      <c r="G679" s="32"/>
      <c r="H679" s="32"/>
      <c r="I679" s="32"/>
      <c r="J679" s="32"/>
      <c r="K679" s="32"/>
      <c r="L679" s="32"/>
      <c r="M679" s="32" t="str">
        <f t="shared" si="11"/>
        <v/>
      </c>
      <c r="N679" s="32"/>
    </row>
    <row r="680" spans="1:14" s="36" customFormat="1" ht="14.1" customHeight="1" x14ac:dyDescent="0.25">
      <c r="A680" s="32" t="str">
        <f>IF(B680&lt;&gt;"",_xlfn.TEXTJOIN("-",1,COUNTIF($B$2:$B680,B680),B680:E680),"")</f>
        <v/>
      </c>
      <c r="B680" s="32"/>
      <c r="C680" s="32"/>
      <c r="D680" s="32"/>
      <c r="E680" s="32"/>
      <c r="F680" s="32"/>
      <c r="G680" s="32"/>
      <c r="H680" s="32"/>
      <c r="I680" s="32"/>
      <c r="J680" s="32"/>
      <c r="K680" s="32"/>
      <c r="L680" s="32"/>
      <c r="M680" s="32" t="str">
        <f t="shared" si="11"/>
        <v/>
      </c>
      <c r="N680" s="32"/>
    </row>
    <row r="681" spans="1:14" s="36" customFormat="1" ht="14.1" customHeight="1" x14ac:dyDescent="0.25">
      <c r="A681" s="32" t="str">
        <f>IF(B681&lt;&gt;"",_xlfn.TEXTJOIN("-",1,COUNTIF($B$2:$B681,B681),B681:E681),"")</f>
        <v/>
      </c>
      <c r="B681" s="32"/>
      <c r="C681" s="32"/>
      <c r="D681" s="32"/>
      <c r="E681" s="32"/>
      <c r="F681" s="32"/>
      <c r="G681" s="32"/>
      <c r="H681" s="32"/>
      <c r="I681" s="32"/>
      <c r="J681" s="32"/>
      <c r="K681" s="32"/>
      <c r="L681" s="32"/>
      <c r="M681" s="32" t="str">
        <f t="shared" si="11"/>
        <v/>
      </c>
      <c r="N681" s="32"/>
    </row>
    <row r="682" spans="1:14" s="36" customFormat="1" ht="14.1" customHeight="1" x14ac:dyDescent="0.25">
      <c r="A682" s="32" t="str">
        <f>IF(B682&lt;&gt;"",_xlfn.TEXTJOIN("-",1,COUNTIF($B$2:$B682,B682),B682:E682),"")</f>
        <v/>
      </c>
      <c r="B682" s="32"/>
      <c r="C682" s="32"/>
      <c r="D682" s="32"/>
      <c r="E682" s="32"/>
      <c r="F682" s="32"/>
      <c r="G682" s="32"/>
      <c r="H682" s="32"/>
      <c r="I682" s="32"/>
      <c r="J682" s="32"/>
      <c r="K682" s="32"/>
      <c r="L682" s="32"/>
      <c r="M682" s="32" t="str">
        <f t="shared" si="11"/>
        <v/>
      </c>
      <c r="N682" s="32"/>
    </row>
    <row r="683" spans="1:14" s="36" customFormat="1" ht="14.1" customHeight="1" x14ac:dyDescent="0.25">
      <c r="A683" s="32" t="str">
        <f>IF(B683&lt;&gt;"",_xlfn.TEXTJOIN("-",1,COUNTIF($B$2:$B683,B683),B683:E683),"")</f>
        <v/>
      </c>
      <c r="B683" s="32"/>
      <c r="C683" s="32"/>
      <c r="D683" s="32"/>
      <c r="E683" s="32"/>
      <c r="F683" s="32"/>
      <c r="G683" s="32"/>
      <c r="H683" s="32"/>
      <c r="I683" s="32"/>
      <c r="J683" s="32"/>
      <c r="K683" s="32"/>
      <c r="L683" s="32"/>
      <c r="M683" s="32" t="str">
        <f t="shared" si="11"/>
        <v/>
      </c>
      <c r="N683" s="32"/>
    </row>
    <row r="684" spans="1:14" s="36" customFormat="1" ht="14.1" customHeight="1" x14ac:dyDescent="0.25">
      <c r="A684" s="32" t="str">
        <f>IF(B684&lt;&gt;"",_xlfn.TEXTJOIN("-",1,COUNTIF($B$2:$B684,B684),B684:E684),"")</f>
        <v/>
      </c>
      <c r="B684" s="32"/>
      <c r="C684" s="32"/>
      <c r="D684" s="32"/>
      <c r="E684" s="32"/>
      <c r="F684" s="32"/>
      <c r="G684" s="32"/>
      <c r="H684" s="32"/>
      <c r="I684" s="32"/>
      <c r="J684" s="32"/>
      <c r="K684" s="32"/>
      <c r="L684" s="32"/>
      <c r="M684" s="32" t="str">
        <f t="shared" si="11"/>
        <v/>
      </c>
      <c r="N684" s="32"/>
    </row>
    <row r="685" spans="1:14" s="36" customFormat="1" ht="14.1" customHeight="1" x14ac:dyDescent="0.25">
      <c r="A685" s="32" t="str">
        <f>IF(B685&lt;&gt;"",_xlfn.TEXTJOIN("-",1,COUNTIF($B$2:$B685,B685),B685:E685),"")</f>
        <v/>
      </c>
      <c r="B685" s="32"/>
      <c r="C685" s="32"/>
      <c r="D685" s="32"/>
      <c r="E685" s="32"/>
      <c r="F685" s="32"/>
      <c r="G685" s="32"/>
      <c r="H685" s="32"/>
      <c r="I685" s="32"/>
      <c r="J685" s="32"/>
      <c r="K685" s="32"/>
      <c r="L685" s="32"/>
      <c r="M685" s="32" t="str">
        <f t="shared" si="11"/>
        <v/>
      </c>
      <c r="N685" s="32"/>
    </row>
    <row r="686" spans="1:14" s="36" customFormat="1" ht="14.1" customHeight="1" x14ac:dyDescent="0.25">
      <c r="A686" s="32" t="str">
        <f>IF(B686&lt;&gt;"",_xlfn.TEXTJOIN("-",1,COUNTIF($B$2:$B686,B686),B686:E686),"")</f>
        <v/>
      </c>
      <c r="B686" s="32"/>
      <c r="C686" s="32"/>
      <c r="D686" s="32"/>
      <c r="E686" s="32"/>
      <c r="F686" s="32"/>
      <c r="G686" s="32"/>
      <c r="H686" s="32"/>
      <c r="I686" s="32"/>
      <c r="J686" s="32"/>
      <c r="K686" s="32"/>
      <c r="L686" s="32"/>
      <c r="M686" s="32" t="str">
        <f t="shared" si="11"/>
        <v/>
      </c>
      <c r="N686" s="32"/>
    </row>
    <row r="687" spans="1:14" s="36" customFormat="1" ht="14.1" customHeight="1" x14ac:dyDescent="0.25">
      <c r="A687" s="32" t="str">
        <f>IF(B687&lt;&gt;"",_xlfn.TEXTJOIN("-",1,COUNTIF($B$2:$B687,B687),B687:E687),"")</f>
        <v/>
      </c>
      <c r="B687" s="32"/>
      <c r="C687" s="32"/>
      <c r="D687" s="32"/>
      <c r="E687" s="32"/>
      <c r="F687" s="32"/>
      <c r="G687" s="32"/>
      <c r="H687" s="32"/>
      <c r="I687" s="32"/>
      <c r="J687" s="32"/>
      <c r="K687" s="32"/>
      <c r="L687" s="32"/>
      <c r="M687" s="32" t="str">
        <f t="shared" si="11"/>
        <v/>
      </c>
      <c r="N687" s="32"/>
    </row>
    <row r="688" spans="1:14" s="36" customFormat="1" ht="14.1" customHeight="1" x14ac:dyDescent="0.25">
      <c r="A688" s="32" t="str">
        <f>IF(B688&lt;&gt;"",_xlfn.TEXTJOIN("-",1,COUNTIF($B$2:$B688,B688),B688:E688),"")</f>
        <v/>
      </c>
      <c r="B688" s="32"/>
      <c r="C688" s="32"/>
      <c r="D688" s="32"/>
      <c r="E688" s="32"/>
      <c r="F688" s="32"/>
      <c r="G688" s="32"/>
      <c r="H688" s="32"/>
      <c r="I688" s="32"/>
      <c r="J688" s="32"/>
      <c r="K688" s="32"/>
      <c r="L688" s="32"/>
      <c r="M688" s="32" t="str">
        <f t="shared" si="11"/>
        <v/>
      </c>
      <c r="N688" s="32"/>
    </row>
    <row r="689" spans="1:14" s="36" customFormat="1" ht="14.1" customHeight="1" x14ac:dyDescent="0.25">
      <c r="A689" s="32" t="str">
        <f>IF(B689&lt;&gt;"",_xlfn.TEXTJOIN("-",1,COUNTIF($B$2:$B689,B689),B689:E689),"")</f>
        <v/>
      </c>
      <c r="B689" s="32"/>
      <c r="C689" s="32"/>
      <c r="D689" s="32"/>
      <c r="E689" s="32"/>
      <c r="F689" s="32"/>
      <c r="G689" s="32"/>
      <c r="H689" s="32"/>
      <c r="I689" s="32"/>
      <c r="J689" s="32"/>
      <c r="K689" s="32"/>
      <c r="L689" s="32"/>
      <c r="M689" s="32" t="str">
        <f t="shared" si="11"/>
        <v/>
      </c>
      <c r="N689" s="32"/>
    </row>
    <row r="690" spans="1:14" s="36" customFormat="1" ht="14.1" customHeight="1" x14ac:dyDescent="0.25">
      <c r="A690" s="32" t="str">
        <f>IF(B690&lt;&gt;"",_xlfn.TEXTJOIN("-",1,COUNTIF($B$2:$B690,B690),B690:E690),"")</f>
        <v/>
      </c>
      <c r="B690" s="32"/>
      <c r="C690" s="32"/>
      <c r="D690" s="32"/>
      <c r="E690" s="32"/>
      <c r="F690" s="32"/>
      <c r="G690" s="32"/>
      <c r="H690" s="32"/>
      <c r="I690" s="32"/>
      <c r="J690" s="32"/>
      <c r="K690" s="32"/>
      <c r="L690" s="32"/>
      <c r="M690" s="32" t="str">
        <f t="shared" si="11"/>
        <v/>
      </c>
      <c r="N690" s="32"/>
    </row>
    <row r="691" spans="1:14" s="36" customFormat="1" ht="14.1" customHeight="1" x14ac:dyDescent="0.25">
      <c r="A691" s="32" t="str">
        <f>IF(B691&lt;&gt;"",_xlfn.TEXTJOIN("-",1,COUNTIF($B$2:$B691,B691),B691:E691),"")</f>
        <v/>
      </c>
      <c r="B691" s="32"/>
      <c r="C691" s="32"/>
      <c r="D691" s="32"/>
      <c r="E691" s="32"/>
      <c r="F691" s="32"/>
      <c r="G691" s="32"/>
      <c r="H691" s="32"/>
      <c r="I691" s="32"/>
      <c r="J691" s="32"/>
      <c r="K691" s="32"/>
      <c r="L691" s="32"/>
      <c r="M691" s="32" t="str">
        <f t="shared" si="11"/>
        <v/>
      </c>
      <c r="N691" s="32"/>
    </row>
    <row r="692" spans="1:14" s="36" customFormat="1" ht="14.1" customHeight="1" x14ac:dyDescent="0.25">
      <c r="A692" s="32" t="str">
        <f>IF(B692&lt;&gt;"",_xlfn.TEXTJOIN("-",1,COUNTIF($B$2:$B692,B692),B692:E692),"")</f>
        <v/>
      </c>
      <c r="B692" s="32"/>
      <c r="C692" s="32"/>
      <c r="D692" s="32"/>
      <c r="E692" s="32"/>
      <c r="F692" s="32"/>
      <c r="G692" s="32"/>
      <c r="H692" s="32"/>
      <c r="I692" s="32"/>
      <c r="J692" s="32"/>
      <c r="K692" s="32"/>
      <c r="L692" s="32"/>
      <c r="M692" s="32" t="str">
        <f t="shared" si="11"/>
        <v/>
      </c>
      <c r="N692" s="32"/>
    </row>
    <row r="693" spans="1:14" s="36" customFormat="1" ht="14.1" customHeight="1" x14ac:dyDescent="0.25">
      <c r="A693" s="32" t="str">
        <f>IF(B693&lt;&gt;"",_xlfn.TEXTJOIN("-",1,COUNTIF($B$2:$B693,B693),B693:E693),"")</f>
        <v/>
      </c>
      <c r="B693" s="32"/>
      <c r="C693" s="32"/>
      <c r="D693" s="32"/>
      <c r="E693" s="32"/>
      <c r="F693" s="32"/>
      <c r="G693" s="32"/>
      <c r="H693" s="32"/>
      <c r="I693" s="32"/>
      <c r="J693" s="32"/>
      <c r="K693" s="32"/>
      <c r="L693" s="32"/>
      <c r="M693" s="32" t="str">
        <f t="shared" si="11"/>
        <v/>
      </c>
      <c r="N693" s="32"/>
    </row>
    <row r="694" spans="1:14" s="36" customFormat="1" ht="14.1" customHeight="1" x14ac:dyDescent="0.25">
      <c r="A694" s="32" t="str">
        <f>IF(B694&lt;&gt;"",_xlfn.TEXTJOIN("-",1,COUNTIF($B$2:$B694,B694),B694:E694),"")</f>
        <v/>
      </c>
      <c r="B694" s="32"/>
      <c r="C694" s="32"/>
      <c r="D694" s="32"/>
      <c r="E694" s="32"/>
      <c r="F694" s="32"/>
      <c r="G694" s="32"/>
      <c r="H694" s="32"/>
      <c r="I694" s="32"/>
      <c r="J694" s="32"/>
      <c r="K694" s="32"/>
      <c r="L694" s="32"/>
      <c r="M694" s="32" t="str">
        <f t="shared" si="11"/>
        <v/>
      </c>
      <c r="N694" s="32"/>
    </row>
    <row r="695" spans="1:14" s="36" customFormat="1" ht="14.1" customHeight="1" x14ac:dyDescent="0.25">
      <c r="A695" s="32" t="str">
        <f>IF(B695&lt;&gt;"",_xlfn.TEXTJOIN("-",1,COUNTIF($B$2:$B695,B695),B695:E695),"")</f>
        <v/>
      </c>
      <c r="B695" s="32"/>
      <c r="C695" s="32"/>
      <c r="D695" s="32"/>
      <c r="E695" s="32"/>
      <c r="F695" s="32"/>
      <c r="G695" s="32"/>
      <c r="H695" s="32"/>
      <c r="I695" s="32"/>
      <c r="J695" s="32"/>
      <c r="K695" s="32"/>
      <c r="L695" s="32"/>
      <c r="M695" s="32" t="str">
        <f t="shared" si="11"/>
        <v/>
      </c>
      <c r="N695" s="32"/>
    </row>
    <row r="696" spans="1:14" s="36" customFormat="1" ht="14.1" customHeight="1" x14ac:dyDescent="0.25">
      <c r="A696" s="32" t="str">
        <f>IF(B696&lt;&gt;"",_xlfn.TEXTJOIN("-",1,COUNTIF($B$2:$B696,B696),B696:E696),"")</f>
        <v/>
      </c>
      <c r="B696" s="32"/>
      <c r="C696" s="32"/>
      <c r="D696" s="32"/>
      <c r="E696" s="32"/>
      <c r="F696" s="32"/>
      <c r="G696" s="32"/>
      <c r="H696" s="32"/>
      <c r="I696" s="32"/>
      <c r="J696" s="32"/>
      <c r="K696" s="32"/>
      <c r="L696" s="32"/>
      <c r="M696" s="32" t="str">
        <f t="shared" si="11"/>
        <v/>
      </c>
      <c r="N696" s="32"/>
    </row>
    <row r="697" spans="1:14" s="36" customFormat="1" ht="14.1" customHeight="1" x14ac:dyDescent="0.25">
      <c r="A697" s="32" t="str">
        <f>IF(B697&lt;&gt;"",_xlfn.TEXTJOIN("-",1,COUNTIF($B$2:$B697,B697),B697:E697),"")</f>
        <v/>
      </c>
      <c r="B697" s="32"/>
      <c r="C697" s="32"/>
      <c r="D697" s="32"/>
      <c r="E697" s="32"/>
      <c r="F697" s="32"/>
      <c r="G697" s="32"/>
      <c r="H697" s="32"/>
      <c r="I697" s="32"/>
      <c r="J697" s="32"/>
      <c r="K697" s="32"/>
      <c r="L697" s="32"/>
      <c r="M697" s="32" t="str">
        <f t="shared" si="11"/>
        <v/>
      </c>
      <c r="N697" s="32"/>
    </row>
    <row r="698" spans="1:14" s="36" customFormat="1" ht="14.1" customHeight="1" x14ac:dyDescent="0.25">
      <c r="A698" s="32" t="str">
        <f>IF(B698&lt;&gt;"",_xlfn.TEXTJOIN("-",1,COUNTIF($B$2:$B698,B698),B698:E698),"")</f>
        <v/>
      </c>
      <c r="B698" s="32"/>
      <c r="C698" s="32"/>
      <c r="D698" s="32"/>
      <c r="E698" s="32"/>
      <c r="F698" s="32"/>
      <c r="G698" s="32"/>
      <c r="H698" s="32"/>
      <c r="I698" s="32"/>
      <c r="J698" s="32"/>
      <c r="K698" s="32"/>
      <c r="L698" s="32"/>
      <c r="M698" s="32" t="str">
        <f t="shared" si="11"/>
        <v/>
      </c>
      <c r="N698" s="32"/>
    </row>
    <row r="699" spans="1:14" s="36" customFormat="1" ht="14.1" customHeight="1" x14ac:dyDescent="0.25">
      <c r="A699" s="32" t="str">
        <f>IF(B699&lt;&gt;"",_xlfn.TEXTJOIN("-",1,COUNTIF($B$2:$B699,B699),B699:E699),"")</f>
        <v/>
      </c>
      <c r="B699" s="32"/>
      <c r="C699" s="32"/>
      <c r="D699" s="32"/>
      <c r="E699" s="32"/>
      <c r="F699" s="32"/>
      <c r="G699" s="32"/>
      <c r="H699" s="32"/>
      <c r="I699" s="32"/>
      <c r="J699" s="32"/>
      <c r="K699" s="32"/>
      <c r="L699" s="32"/>
      <c r="M699" s="32" t="str">
        <f t="shared" si="11"/>
        <v/>
      </c>
      <c r="N699" s="32"/>
    </row>
    <row r="700" spans="1:14" s="36" customFormat="1" ht="14.1" customHeight="1" x14ac:dyDescent="0.25">
      <c r="A700" s="32" t="str">
        <f>IF(B700&lt;&gt;"",_xlfn.TEXTJOIN("-",1,COUNTIF($B$2:$B700,B700),B700:E700),"")</f>
        <v/>
      </c>
      <c r="B700" s="32"/>
      <c r="C700" s="32"/>
      <c r="D700" s="32"/>
      <c r="E700" s="32"/>
      <c r="F700" s="32"/>
      <c r="G700" s="32"/>
      <c r="H700" s="32"/>
      <c r="I700" s="32"/>
      <c r="J700" s="32"/>
      <c r="K700" s="32"/>
      <c r="L700" s="32"/>
      <c r="M700" s="32" t="str">
        <f t="shared" si="11"/>
        <v/>
      </c>
      <c r="N700" s="32"/>
    </row>
    <row r="701" spans="1:14" s="36" customFormat="1" ht="14.1" customHeight="1" x14ac:dyDescent="0.25">
      <c r="A701" s="32" t="str">
        <f>IF(B701&lt;&gt;"",_xlfn.TEXTJOIN("-",1,COUNTIF($B$2:$B701,B701),B701:E701),"")</f>
        <v/>
      </c>
      <c r="B701" s="32"/>
      <c r="C701" s="32"/>
      <c r="D701" s="32"/>
      <c r="E701" s="32"/>
      <c r="F701" s="32"/>
      <c r="G701" s="32"/>
      <c r="H701" s="32"/>
      <c r="I701" s="32"/>
      <c r="J701" s="32"/>
      <c r="K701" s="32"/>
      <c r="L701" s="32"/>
      <c r="M701" s="32" t="str">
        <f t="shared" si="11"/>
        <v/>
      </c>
      <c r="N701" s="32"/>
    </row>
    <row r="702" spans="1:14" s="36" customFormat="1" ht="14.1" customHeight="1" x14ac:dyDescent="0.25">
      <c r="A702" s="32" t="str">
        <f>IF(B702&lt;&gt;"",_xlfn.TEXTJOIN("-",1,COUNTIF($B$2:$B702,B702),B702:E702),"")</f>
        <v/>
      </c>
      <c r="B702" s="32"/>
      <c r="C702" s="32"/>
      <c r="D702" s="32"/>
      <c r="E702" s="32"/>
      <c r="F702" s="32"/>
      <c r="G702" s="32"/>
      <c r="H702" s="32"/>
      <c r="I702" s="32"/>
      <c r="J702" s="32"/>
      <c r="K702" s="32"/>
      <c r="L702" s="32"/>
      <c r="M702" s="32" t="str">
        <f t="shared" si="11"/>
        <v/>
      </c>
      <c r="N702" s="32"/>
    </row>
    <row r="703" spans="1:14" s="36" customFormat="1" ht="14.1" customHeight="1" x14ac:dyDescent="0.25">
      <c r="A703" s="32" t="str">
        <f>IF(B703&lt;&gt;"",_xlfn.TEXTJOIN("-",1,COUNTIF($B$2:$B703,B703),B703:E703),"")</f>
        <v/>
      </c>
      <c r="B703" s="32"/>
      <c r="C703" s="32"/>
      <c r="D703" s="32"/>
      <c r="E703" s="32"/>
      <c r="F703" s="32"/>
      <c r="G703" s="32"/>
      <c r="H703" s="32"/>
      <c r="I703" s="32"/>
      <c r="J703" s="32"/>
      <c r="K703" s="32"/>
      <c r="L703" s="32"/>
      <c r="M703" s="32" t="str">
        <f t="shared" si="11"/>
        <v/>
      </c>
      <c r="N703" s="32"/>
    </row>
    <row r="704" spans="1:14" s="36" customFormat="1" ht="14.1" customHeight="1" x14ac:dyDescent="0.25">
      <c r="A704" s="32" t="str">
        <f>IF(B704&lt;&gt;"",_xlfn.TEXTJOIN("-",1,COUNTIF($B$2:$B704,B704),B704:E704),"")</f>
        <v/>
      </c>
      <c r="B704" s="32"/>
      <c r="C704" s="32"/>
      <c r="D704" s="32"/>
      <c r="E704" s="32"/>
      <c r="F704" s="32"/>
      <c r="G704" s="32"/>
      <c r="H704" s="32"/>
      <c r="I704" s="32"/>
      <c r="J704" s="32"/>
      <c r="K704" s="32"/>
      <c r="L704" s="32"/>
      <c r="M704" s="32" t="str">
        <f t="shared" si="11"/>
        <v/>
      </c>
      <c r="N704" s="32"/>
    </row>
    <row r="705" spans="1:14" s="36" customFormat="1" ht="14.1" customHeight="1" x14ac:dyDescent="0.25">
      <c r="A705" s="32" t="str">
        <f>IF(B705&lt;&gt;"",_xlfn.TEXTJOIN("-",1,COUNTIF($B$2:$B705,B705),B705:E705),"")</f>
        <v/>
      </c>
      <c r="B705" s="32"/>
      <c r="C705" s="32"/>
      <c r="D705" s="32"/>
      <c r="E705" s="32"/>
      <c r="F705" s="32"/>
      <c r="G705" s="32"/>
      <c r="H705" s="32"/>
      <c r="I705" s="32"/>
      <c r="J705" s="32"/>
      <c r="K705" s="32"/>
      <c r="L705" s="32"/>
      <c r="M705" s="32" t="str">
        <f t="shared" si="11"/>
        <v/>
      </c>
      <c r="N705" s="32"/>
    </row>
    <row r="706" spans="1:14" s="36" customFormat="1" ht="14.1" customHeight="1" x14ac:dyDescent="0.25">
      <c r="A706" s="32" t="str">
        <f>IF(B706&lt;&gt;"",_xlfn.TEXTJOIN("-",1,COUNTIF($B$2:$B706,B706),B706:E706),"")</f>
        <v/>
      </c>
      <c r="B706" s="32"/>
      <c r="C706" s="32"/>
      <c r="D706" s="32"/>
      <c r="E706" s="32"/>
      <c r="F706" s="32"/>
      <c r="G706" s="32"/>
      <c r="H706" s="32"/>
      <c r="I706" s="32"/>
      <c r="J706" s="32"/>
      <c r="K706" s="32"/>
      <c r="L706" s="32"/>
      <c r="M706" s="32" t="str">
        <f t="shared" si="11"/>
        <v/>
      </c>
      <c r="N706" s="32"/>
    </row>
    <row r="707" spans="1:14" s="36" customFormat="1" ht="14.1" customHeight="1" x14ac:dyDescent="0.25">
      <c r="A707" s="32" t="str">
        <f>IF(B707&lt;&gt;"",_xlfn.TEXTJOIN("-",1,COUNTIF($B$2:$B707,B707),B707:E707),"")</f>
        <v/>
      </c>
      <c r="B707" s="32"/>
      <c r="C707" s="32"/>
      <c r="D707" s="32"/>
      <c r="E707" s="32"/>
      <c r="F707" s="32"/>
      <c r="G707" s="32"/>
      <c r="H707" s="32"/>
      <c r="I707" s="32"/>
      <c r="J707" s="32"/>
      <c r="K707" s="32"/>
      <c r="L707" s="32"/>
      <c r="M707" s="32" t="str">
        <f t="shared" ref="M707:M770" si="12">IF(B707="FN",_xlfn.CONCAT("egor.v.ivanov+",LEFT(C707,1),"_",LEFT(D707,2),"_",E707,"@outlook.com"),"")</f>
        <v/>
      </c>
      <c r="N707" s="32"/>
    </row>
    <row r="708" spans="1:14" s="36" customFormat="1" ht="14.1" customHeight="1" x14ac:dyDescent="0.25">
      <c r="A708" s="32" t="str">
        <f>IF(B708&lt;&gt;"",_xlfn.TEXTJOIN("-",1,COUNTIF($B$2:$B708,B708),B708:E708),"")</f>
        <v/>
      </c>
      <c r="B708" s="32"/>
      <c r="C708" s="32"/>
      <c r="D708" s="32"/>
      <c r="E708" s="32"/>
      <c r="F708" s="32"/>
      <c r="G708" s="32"/>
      <c r="H708" s="32"/>
      <c r="I708" s="32"/>
      <c r="J708" s="32"/>
      <c r="K708" s="32"/>
      <c r="L708" s="32"/>
      <c r="M708" s="32" t="str">
        <f t="shared" si="12"/>
        <v/>
      </c>
      <c r="N708" s="32"/>
    </row>
    <row r="709" spans="1:14" s="36" customFormat="1" ht="14.1" customHeight="1" x14ac:dyDescent="0.25">
      <c r="A709" s="32" t="str">
        <f>IF(B709&lt;&gt;"",_xlfn.TEXTJOIN("-",1,COUNTIF($B$2:$B709,B709),B709:E709),"")</f>
        <v/>
      </c>
      <c r="B709" s="32"/>
      <c r="C709" s="32"/>
      <c r="D709" s="32"/>
      <c r="E709" s="32"/>
      <c r="F709" s="32"/>
      <c r="G709" s="32"/>
      <c r="H709" s="32"/>
      <c r="I709" s="32"/>
      <c r="J709" s="32"/>
      <c r="K709" s="32"/>
      <c r="L709" s="32"/>
      <c r="M709" s="32" t="str">
        <f t="shared" si="12"/>
        <v/>
      </c>
      <c r="N709" s="32"/>
    </row>
    <row r="710" spans="1:14" s="36" customFormat="1" ht="14.1" customHeight="1" x14ac:dyDescent="0.25">
      <c r="A710" s="32" t="str">
        <f>IF(B710&lt;&gt;"",_xlfn.TEXTJOIN("-",1,COUNTIF($B$2:$B710,B710),B710:E710),"")</f>
        <v/>
      </c>
      <c r="B710" s="32"/>
      <c r="C710" s="32"/>
      <c r="D710" s="32"/>
      <c r="E710" s="32"/>
      <c r="F710" s="32"/>
      <c r="G710" s="32"/>
      <c r="H710" s="32"/>
      <c r="I710" s="32"/>
      <c r="J710" s="32"/>
      <c r="K710" s="32"/>
      <c r="L710" s="32"/>
      <c r="M710" s="32" t="str">
        <f t="shared" si="12"/>
        <v/>
      </c>
      <c r="N710" s="32"/>
    </row>
    <row r="711" spans="1:14" s="36" customFormat="1" ht="14.1" customHeight="1" x14ac:dyDescent="0.25">
      <c r="A711" s="32" t="str">
        <f>IF(B711&lt;&gt;"",_xlfn.TEXTJOIN("-",1,COUNTIF($B$2:$B711,B711),B711:E711),"")</f>
        <v/>
      </c>
      <c r="B711" s="32"/>
      <c r="C711" s="32"/>
      <c r="D711" s="32"/>
      <c r="E711" s="32"/>
      <c r="F711" s="32"/>
      <c r="G711" s="32"/>
      <c r="H711" s="32"/>
      <c r="I711" s="32"/>
      <c r="J711" s="32"/>
      <c r="K711" s="32"/>
      <c r="L711" s="32"/>
      <c r="M711" s="32" t="str">
        <f t="shared" si="12"/>
        <v/>
      </c>
      <c r="N711" s="32"/>
    </row>
    <row r="712" spans="1:14" s="36" customFormat="1" ht="14.1" customHeight="1" x14ac:dyDescent="0.25">
      <c r="A712" s="32" t="str">
        <f>IF(B712&lt;&gt;"",_xlfn.TEXTJOIN("-",1,COUNTIF($B$2:$B712,B712),B712:E712),"")</f>
        <v/>
      </c>
      <c r="B712" s="32"/>
      <c r="C712" s="32"/>
      <c r="D712" s="32"/>
      <c r="E712" s="32"/>
      <c r="F712" s="32"/>
      <c r="G712" s="32"/>
      <c r="H712" s="32"/>
      <c r="I712" s="32"/>
      <c r="J712" s="32"/>
      <c r="K712" s="32"/>
      <c r="L712" s="32"/>
      <c r="M712" s="32" t="str">
        <f t="shared" si="12"/>
        <v/>
      </c>
      <c r="N712" s="32"/>
    </row>
    <row r="713" spans="1:14" s="36" customFormat="1" ht="14.1" customHeight="1" x14ac:dyDescent="0.25">
      <c r="A713" s="32" t="str">
        <f>IF(B713&lt;&gt;"",_xlfn.TEXTJOIN("-",1,COUNTIF($B$2:$B713,B713),B713:E713),"")</f>
        <v/>
      </c>
      <c r="B713" s="32"/>
      <c r="C713" s="32"/>
      <c r="D713" s="32"/>
      <c r="E713" s="32"/>
      <c r="F713" s="32"/>
      <c r="G713" s="32"/>
      <c r="H713" s="32"/>
      <c r="I713" s="32"/>
      <c r="J713" s="32"/>
      <c r="K713" s="32"/>
      <c r="L713" s="32"/>
      <c r="M713" s="32" t="str">
        <f t="shared" si="12"/>
        <v/>
      </c>
      <c r="N713" s="32"/>
    </row>
    <row r="714" spans="1:14" s="36" customFormat="1" ht="14.1" customHeight="1" x14ac:dyDescent="0.25">
      <c r="A714" s="32" t="str">
        <f>IF(B714&lt;&gt;"",_xlfn.TEXTJOIN("-",1,COUNTIF($B$2:$B714,B714),B714:E714),"")</f>
        <v/>
      </c>
      <c r="B714" s="32"/>
      <c r="C714" s="32"/>
      <c r="D714" s="32"/>
      <c r="E714" s="32"/>
      <c r="F714" s="32"/>
      <c r="G714" s="32"/>
      <c r="H714" s="32"/>
      <c r="I714" s="32"/>
      <c r="J714" s="32"/>
      <c r="K714" s="32"/>
      <c r="L714" s="32"/>
      <c r="M714" s="32" t="str">
        <f t="shared" si="12"/>
        <v/>
      </c>
      <c r="N714" s="32"/>
    </row>
    <row r="715" spans="1:14" s="36" customFormat="1" ht="14.1" customHeight="1" x14ac:dyDescent="0.25">
      <c r="A715" s="32" t="str">
        <f>IF(B715&lt;&gt;"",_xlfn.TEXTJOIN("-",1,COUNTIF($B$2:$B715,B715),B715:E715),"")</f>
        <v/>
      </c>
      <c r="B715" s="32"/>
      <c r="C715" s="32"/>
      <c r="D715" s="32"/>
      <c r="E715" s="32"/>
      <c r="F715" s="32"/>
      <c r="G715" s="32"/>
      <c r="H715" s="32"/>
      <c r="I715" s="32"/>
      <c r="J715" s="32"/>
      <c r="K715" s="32"/>
      <c r="L715" s="32"/>
      <c r="M715" s="32" t="str">
        <f t="shared" si="12"/>
        <v/>
      </c>
      <c r="N715" s="32"/>
    </row>
    <row r="716" spans="1:14" s="36" customFormat="1" ht="14.1" customHeight="1" x14ac:dyDescent="0.25">
      <c r="A716" s="32" t="str">
        <f>IF(B716&lt;&gt;"",_xlfn.TEXTJOIN("-",1,COUNTIF($B$2:$B716,B716),B716:E716),"")</f>
        <v/>
      </c>
      <c r="B716" s="32"/>
      <c r="C716" s="32"/>
      <c r="D716" s="32"/>
      <c r="E716" s="32"/>
      <c r="F716" s="32"/>
      <c r="G716" s="32"/>
      <c r="H716" s="32"/>
      <c r="I716" s="32"/>
      <c r="J716" s="32"/>
      <c r="K716" s="32"/>
      <c r="L716" s="32"/>
      <c r="M716" s="32" t="str">
        <f t="shared" si="12"/>
        <v/>
      </c>
      <c r="N716" s="32"/>
    </row>
    <row r="717" spans="1:14" s="36" customFormat="1" ht="14.1" customHeight="1" x14ac:dyDescent="0.25">
      <c r="A717" s="32" t="str">
        <f>IF(B717&lt;&gt;"",_xlfn.TEXTJOIN("-",1,COUNTIF($B$2:$B717,B717),B717:E717),"")</f>
        <v/>
      </c>
      <c r="B717" s="32"/>
      <c r="C717" s="32"/>
      <c r="D717" s="32"/>
      <c r="E717" s="32"/>
      <c r="F717" s="32"/>
      <c r="G717" s="32"/>
      <c r="H717" s="32"/>
      <c r="I717" s="32"/>
      <c r="J717" s="32"/>
      <c r="K717" s="32"/>
      <c r="L717" s="32"/>
      <c r="M717" s="32" t="str">
        <f t="shared" si="12"/>
        <v/>
      </c>
      <c r="N717" s="32"/>
    </row>
    <row r="718" spans="1:14" s="36" customFormat="1" ht="14.1" customHeight="1" x14ac:dyDescent="0.25">
      <c r="A718" s="32" t="str">
        <f>IF(B718&lt;&gt;"",_xlfn.TEXTJOIN("-",1,COUNTIF($B$2:$B718,B718),B718:E718),"")</f>
        <v/>
      </c>
      <c r="B718" s="32"/>
      <c r="C718" s="32"/>
      <c r="D718" s="32"/>
      <c r="E718" s="32"/>
      <c r="F718" s="32"/>
      <c r="G718" s="32"/>
      <c r="H718" s="32"/>
      <c r="I718" s="32"/>
      <c r="J718" s="32"/>
      <c r="K718" s="32"/>
      <c r="L718" s="32"/>
      <c r="M718" s="32" t="str">
        <f t="shared" si="12"/>
        <v/>
      </c>
      <c r="N718" s="32"/>
    </row>
    <row r="719" spans="1:14" s="36" customFormat="1" ht="14.1" customHeight="1" x14ac:dyDescent="0.25">
      <c r="A719" s="32" t="str">
        <f>IF(B719&lt;&gt;"",_xlfn.TEXTJOIN("-",1,COUNTIF($B$2:$B719,B719),B719:E719),"")</f>
        <v/>
      </c>
      <c r="B719" s="32"/>
      <c r="C719" s="32"/>
      <c r="D719" s="32"/>
      <c r="E719" s="32"/>
      <c r="F719" s="32"/>
      <c r="G719" s="32"/>
      <c r="H719" s="32"/>
      <c r="I719" s="32"/>
      <c r="J719" s="32"/>
      <c r="K719" s="32"/>
      <c r="L719" s="32"/>
      <c r="M719" s="32" t="str">
        <f t="shared" si="12"/>
        <v/>
      </c>
      <c r="N719" s="32"/>
    </row>
    <row r="720" spans="1:14" s="36" customFormat="1" ht="14.1" customHeight="1" x14ac:dyDescent="0.25">
      <c r="A720" s="32" t="str">
        <f>IF(B720&lt;&gt;"",_xlfn.TEXTJOIN("-",1,COUNTIF($B$2:$B720,B720),B720:E720),"")</f>
        <v/>
      </c>
      <c r="B720" s="32"/>
      <c r="C720" s="32"/>
      <c r="D720" s="32"/>
      <c r="E720" s="32"/>
      <c r="F720" s="32"/>
      <c r="G720" s="32"/>
      <c r="H720" s="32"/>
      <c r="I720" s="32"/>
      <c r="J720" s="32"/>
      <c r="K720" s="32"/>
      <c r="L720" s="32"/>
      <c r="M720" s="32" t="str">
        <f t="shared" si="12"/>
        <v/>
      </c>
      <c r="N720" s="32"/>
    </row>
    <row r="721" spans="1:14" s="36" customFormat="1" ht="14.1" customHeight="1" x14ac:dyDescent="0.25">
      <c r="A721" s="32" t="str">
        <f>IF(B721&lt;&gt;"",_xlfn.TEXTJOIN("-",1,COUNTIF($B$2:$B721,B721),B721:E721),"")</f>
        <v/>
      </c>
      <c r="B721" s="32"/>
      <c r="C721" s="32"/>
      <c r="D721" s="32"/>
      <c r="E721" s="32"/>
      <c r="F721" s="32"/>
      <c r="G721" s="32"/>
      <c r="H721" s="32"/>
      <c r="I721" s="32"/>
      <c r="J721" s="32"/>
      <c r="K721" s="32"/>
      <c r="L721" s="32"/>
      <c r="M721" s="32" t="str">
        <f t="shared" si="12"/>
        <v/>
      </c>
      <c r="N721" s="32"/>
    </row>
    <row r="722" spans="1:14" s="36" customFormat="1" ht="14.1" customHeight="1" x14ac:dyDescent="0.25">
      <c r="A722" s="32" t="str">
        <f>IF(B722&lt;&gt;"",_xlfn.TEXTJOIN("-",1,COUNTIF($B$2:$B722,B722),B722:E722),"")</f>
        <v/>
      </c>
      <c r="B722" s="32"/>
      <c r="C722" s="32"/>
      <c r="D722" s="32"/>
      <c r="E722" s="32"/>
      <c r="F722" s="32"/>
      <c r="G722" s="32"/>
      <c r="H722" s="32"/>
      <c r="I722" s="32"/>
      <c r="J722" s="32"/>
      <c r="K722" s="32"/>
      <c r="L722" s="32"/>
      <c r="M722" s="32" t="str">
        <f t="shared" si="12"/>
        <v/>
      </c>
      <c r="N722" s="32"/>
    </row>
    <row r="723" spans="1:14" s="36" customFormat="1" ht="14.1" customHeight="1" x14ac:dyDescent="0.25">
      <c r="A723" s="32" t="str">
        <f>IF(B723&lt;&gt;"",_xlfn.TEXTJOIN("-",1,COUNTIF($B$2:$B723,B723),B723:E723),"")</f>
        <v/>
      </c>
      <c r="B723" s="32"/>
      <c r="C723" s="32"/>
      <c r="D723" s="32"/>
      <c r="E723" s="32"/>
      <c r="F723" s="32"/>
      <c r="G723" s="32"/>
      <c r="H723" s="32"/>
      <c r="I723" s="32"/>
      <c r="J723" s="32"/>
      <c r="K723" s="32"/>
      <c r="L723" s="32"/>
      <c r="M723" s="32" t="str">
        <f t="shared" si="12"/>
        <v/>
      </c>
      <c r="N723" s="32"/>
    </row>
    <row r="724" spans="1:14" s="36" customFormat="1" ht="14.1" customHeight="1" x14ac:dyDescent="0.25">
      <c r="A724" s="32" t="str">
        <f>IF(B724&lt;&gt;"",_xlfn.TEXTJOIN("-",1,COUNTIF($B$2:$B724,B724),B724:E724),"")</f>
        <v/>
      </c>
      <c r="B724" s="32"/>
      <c r="C724" s="32"/>
      <c r="D724" s="32"/>
      <c r="E724" s="32"/>
      <c r="F724" s="32"/>
      <c r="G724" s="32"/>
      <c r="H724" s="32"/>
      <c r="I724" s="32"/>
      <c r="J724" s="32"/>
      <c r="K724" s="32"/>
      <c r="L724" s="32"/>
      <c r="M724" s="32" t="str">
        <f t="shared" si="12"/>
        <v/>
      </c>
      <c r="N724" s="32"/>
    </row>
    <row r="725" spans="1:14" s="36" customFormat="1" ht="14.1" customHeight="1" x14ac:dyDescent="0.25">
      <c r="A725" s="32" t="str">
        <f>IF(B725&lt;&gt;"",_xlfn.TEXTJOIN("-",1,COUNTIF($B$2:$B725,B725),B725:E725),"")</f>
        <v/>
      </c>
      <c r="B725" s="32"/>
      <c r="C725" s="32"/>
      <c r="D725" s="32"/>
      <c r="E725" s="32"/>
      <c r="F725" s="32"/>
      <c r="G725" s="32"/>
      <c r="H725" s="32"/>
      <c r="I725" s="32"/>
      <c r="J725" s="32"/>
      <c r="K725" s="32"/>
      <c r="L725" s="32"/>
      <c r="M725" s="32" t="str">
        <f t="shared" si="12"/>
        <v/>
      </c>
      <c r="N725" s="32"/>
    </row>
    <row r="726" spans="1:14" s="36" customFormat="1" ht="14.1" customHeight="1" x14ac:dyDescent="0.25">
      <c r="A726" s="32" t="str">
        <f>IF(B726&lt;&gt;"",_xlfn.TEXTJOIN("-",1,COUNTIF($B$2:$B726,B726),B726:E726),"")</f>
        <v/>
      </c>
      <c r="B726" s="32"/>
      <c r="C726" s="32"/>
      <c r="D726" s="32"/>
      <c r="E726" s="32"/>
      <c r="F726" s="32"/>
      <c r="G726" s="32"/>
      <c r="H726" s="32"/>
      <c r="I726" s="32"/>
      <c r="J726" s="32"/>
      <c r="K726" s="32"/>
      <c r="L726" s="32"/>
      <c r="M726" s="32" t="str">
        <f t="shared" si="12"/>
        <v/>
      </c>
      <c r="N726" s="32"/>
    </row>
    <row r="727" spans="1:14" s="36" customFormat="1" ht="14.1" customHeight="1" x14ac:dyDescent="0.25">
      <c r="A727" s="32" t="str">
        <f>IF(B727&lt;&gt;"",_xlfn.TEXTJOIN("-",1,COUNTIF($B$2:$B727,B727),B727:E727),"")</f>
        <v/>
      </c>
      <c r="B727" s="32"/>
      <c r="C727" s="32"/>
      <c r="D727" s="32"/>
      <c r="E727" s="32"/>
      <c r="F727" s="32"/>
      <c r="G727" s="32"/>
      <c r="H727" s="32"/>
      <c r="I727" s="32"/>
      <c r="J727" s="32"/>
      <c r="K727" s="32"/>
      <c r="L727" s="32"/>
      <c r="M727" s="32" t="str">
        <f t="shared" si="12"/>
        <v/>
      </c>
      <c r="N727" s="32"/>
    </row>
    <row r="728" spans="1:14" s="36" customFormat="1" ht="14.1" customHeight="1" x14ac:dyDescent="0.25">
      <c r="A728" s="32" t="str">
        <f>IF(B728&lt;&gt;"",_xlfn.TEXTJOIN("-",1,COUNTIF($B$2:$B728,B728),B728:E728),"")</f>
        <v/>
      </c>
      <c r="B728" s="32"/>
      <c r="C728" s="32"/>
      <c r="D728" s="32"/>
      <c r="E728" s="32"/>
      <c r="F728" s="32"/>
      <c r="G728" s="32"/>
      <c r="H728" s="32"/>
      <c r="I728" s="32"/>
      <c r="J728" s="32"/>
      <c r="K728" s="32"/>
      <c r="L728" s="32"/>
      <c r="M728" s="32" t="str">
        <f t="shared" si="12"/>
        <v/>
      </c>
      <c r="N728" s="32"/>
    </row>
    <row r="729" spans="1:14" s="36" customFormat="1" ht="14.1" customHeight="1" x14ac:dyDescent="0.25">
      <c r="A729" s="32" t="str">
        <f>IF(B729&lt;&gt;"",_xlfn.TEXTJOIN("-",1,COUNTIF($B$2:$B729,B729),B729:E729),"")</f>
        <v/>
      </c>
      <c r="B729" s="32"/>
      <c r="C729" s="32"/>
      <c r="D729" s="32"/>
      <c r="E729" s="32"/>
      <c r="F729" s="32"/>
      <c r="G729" s="32"/>
      <c r="H729" s="32"/>
      <c r="I729" s="32"/>
      <c r="J729" s="32"/>
      <c r="K729" s="32"/>
      <c r="L729" s="32"/>
      <c r="M729" s="32" t="str">
        <f t="shared" si="12"/>
        <v/>
      </c>
      <c r="N729" s="32"/>
    </row>
    <row r="730" spans="1:14" s="36" customFormat="1" ht="14.1" customHeight="1" x14ac:dyDescent="0.25">
      <c r="A730" s="32" t="str">
        <f>IF(B730&lt;&gt;"",_xlfn.TEXTJOIN("-",1,COUNTIF($B$2:$B730,B730),B730:E730),"")</f>
        <v/>
      </c>
      <c r="B730" s="32"/>
      <c r="C730" s="32"/>
      <c r="D730" s="32"/>
      <c r="E730" s="32"/>
      <c r="F730" s="32"/>
      <c r="G730" s="32"/>
      <c r="H730" s="32"/>
      <c r="I730" s="32"/>
      <c r="J730" s="32"/>
      <c r="K730" s="32"/>
      <c r="L730" s="32"/>
      <c r="M730" s="32" t="str">
        <f t="shared" si="12"/>
        <v/>
      </c>
      <c r="N730" s="32"/>
    </row>
    <row r="731" spans="1:14" s="36" customFormat="1" ht="14.1" customHeight="1" x14ac:dyDescent="0.25">
      <c r="A731" s="32" t="str">
        <f>IF(B731&lt;&gt;"",_xlfn.TEXTJOIN("-",1,COUNTIF($B$2:$B731,B731),B731:E731),"")</f>
        <v/>
      </c>
      <c r="B731" s="32"/>
      <c r="C731" s="32"/>
      <c r="D731" s="32"/>
      <c r="E731" s="32"/>
      <c r="F731" s="32"/>
      <c r="G731" s="32"/>
      <c r="H731" s="32"/>
      <c r="I731" s="32"/>
      <c r="J731" s="32"/>
      <c r="K731" s="32"/>
      <c r="L731" s="32"/>
      <c r="M731" s="32" t="str">
        <f t="shared" si="12"/>
        <v/>
      </c>
      <c r="N731" s="32"/>
    </row>
    <row r="732" spans="1:14" s="36" customFormat="1" ht="14.1" customHeight="1" x14ac:dyDescent="0.25">
      <c r="A732" s="32" t="str">
        <f>IF(B732&lt;&gt;"",_xlfn.TEXTJOIN("-",1,COUNTIF($B$2:$B732,B732),B732:E732),"")</f>
        <v/>
      </c>
      <c r="B732" s="32"/>
      <c r="C732" s="32"/>
      <c r="D732" s="32"/>
      <c r="E732" s="32"/>
      <c r="F732" s="32"/>
      <c r="G732" s="32"/>
      <c r="H732" s="32"/>
      <c r="I732" s="32"/>
      <c r="J732" s="32"/>
      <c r="K732" s="32"/>
      <c r="L732" s="32"/>
      <c r="M732" s="32" t="str">
        <f t="shared" si="12"/>
        <v/>
      </c>
      <c r="N732" s="32"/>
    </row>
    <row r="733" spans="1:14" s="36" customFormat="1" ht="14.1" customHeight="1" x14ac:dyDescent="0.25">
      <c r="A733" s="32" t="str">
        <f>IF(B733&lt;&gt;"",_xlfn.TEXTJOIN("-",1,COUNTIF($B$2:$B733,B733),B733:E733),"")</f>
        <v/>
      </c>
      <c r="B733" s="32"/>
      <c r="C733" s="32"/>
      <c r="D733" s="32"/>
      <c r="E733" s="32"/>
      <c r="F733" s="32"/>
      <c r="G733" s="32"/>
      <c r="H733" s="32"/>
      <c r="I733" s="32"/>
      <c r="J733" s="32"/>
      <c r="K733" s="32"/>
      <c r="L733" s="32"/>
      <c r="M733" s="32" t="str">
        <f t="shared" si="12"/>
        <v/>
      </c>
      <c r="N733" s="32"/>
    </row>
    <row r="734" spans="1:14" s="36" customFormat="1" ht="14.1" customHeight="1" x14ac:dyDescent="0.25">
      <c r="A734" s="32" t="str">
        <f>IF(B734&lt;&gt;"",_xlfn.TEXTJOIN("-",1,COUNTIF($B$2:$B734,B734),B734:E734),"")</f>
        <v/>
      </c>
      <c r="B734" s="32"/>
      <c r="C734" s="32"/>
      <c r="D734" s="32"/>
      <c r="E734" s="32"/>
      <c r="F734" s="32"/>
      <c r="G734" s="32"/>
      <c r="H734" s="32"/>
      <c r="I734" s="32"/>
      <c r="J734" s="32"/>
      <c r="K734" s="32"/>
      <c r="L734" s="32"/>
      <c r="M734" s="32" t="str">
        <f t="shared" si="12"/>
        <v/>
      </c>
      <c r="N734" s="32"/>
    </row>
    <row r="735" spans="1:14" s="36" customFormat="1" ht="14.1" customHeight="1" x14ac:dyDescent="0.25">
      <c r="A735" s="32" t="str">
        <f>IF(B735&lt;&gt;"",_xlfn.TEXTJOIN("-",1,COUNTIF($B$2:$B735,B735),B735:E735),"")</f>
        <v/>
      </c>
      <c r="B735" s="32"/>
      <c r="C735" s="32"/>
      <c r="D735" s="32"/>
      <c r="E735" s="32"/>
      <c r="F735" s="32"/>
      <c r="G735" s="32"/>
      <c r="H735" s="32"/>
      <c r="I735" s="32"/>
      <c r="J735" s="32"/>
      <c r="K735" s="32"/>
      <c r="L735" s="32"/>
      <c r="M735" s="32" t="str">
        <f t="shared" si="12"/>
        <v/>
      </c>
      <c r="N735" s="32"/>
    </row>
    <row r="736" spans="1:14" s="36" customFormat="1" ht="14.1" customHeight="1" x14ac:dyDescent="0.25">
      <c r="A736" s="32" t="str">
        <f>IF(B736&lt;&gt;"",_xlfn.TEXTJOIN("-",1,COUNTIF($B$2:$B736,B736),B736:E736),"")</f>
        <v/>
      </c>
      <c r="B736" s="32"/>
      <c r="C736" s="32"/>
      <c r="D736" s="32"/>
      <c r="E736" s="32"/>
      <c r="F736" s="32"/>
      <c r="G736" s="32"/>
      <c r="H736" s="32"/>
      <c r="I736" s="32"/>
      <c r="J736" s="32"/>
      <c r="K736" s="32"/>
      <c r="L736" s="32"/>
      <c r="M736" s="32" t="str">
        <f t="shared" si="12"/>
        <v/>
      </c>
      <c r="N736" s="32"/>
    </row>
    <row r="737" spans="1:14" s="36" customFormat="1" ht="14.1" customHeight="1" x14ac:dyDescent="0.25">
      <c r="A737" s="32" t="str">
        <f>IF(B737&lt;&gt;"",_xlfn.TEXTJOIN("-",1,COUNTIF($B$2:$B737,B737),B737:E737),"")</f>
        <v/>
      </c>
      <c r="B737" s="32"/>
      <c r="C737" s="32"/>
      <c r="D737" s="32"/>
      <c r="E737" s="32"/>
      <c r="F737" s="32"/>
      <c r="G737" s="32"/>
      <c r="H737" s="32"/>
      <c r="I737" s="32"/>
      <c r="J737" s="32"/>
      <c r="K737" s="32"/>
      <c r="L737" s="32"/>
      <c r="M737" s="32" t="str">
        <f t="shared" si="12"/>
        <v/>
      </c>
      <c r="N737" s="32"/>
    </row>
    <row r="738" spans="1:14" s="36" customFormat="1" ht="14.1" customHeight="1" x14ac:dyDescent="0.25">
      <c r="A738" s="32" t="str">
        <f>IF(B738&lt;&gt;"",_xlfn.TEXTJOIN("-",1,COUNTIF($B$2:$B738,B738),B738:E738),"")</f>
        <v/>
      </c>
      <c r="B738" s="32"/>
      <c r="C738" s="32"/>
      <c r="D738" s="32"/>
      <c r="E738" s="32"/>
      <c r="F738" s="32"/>
      <c r="G738" s="32"/>
      <c r="H738" s="32"/>
      <c r="I738" s="32"/>
      <c r="J738" s="32"/>
      <c r="K738" s="32"/>
      <c r="L738" s="32"/>
      <c r="M738" s="32" t="str">
        <f t="shared" si="12"/>
        <v/>
      </c>
      <c r="N738" s="32"/>
    </row>
    <row r="739" spans="1:14" s="36" customFormat="1" ht="14.1" customHeight="1" x14ac:dyDescent="0.25">
      <c r="A739" s="32" t="str">
        <f>IF(B739&lt;&gt;"",_xlfn.TEXTJOIN("-",1,COUNTIF($B$2:$B739,B739),B739:E739),"")</f>
        <v/>
      </c>
      <c r="B739" s="32"/>
      <c r="C739" s="32"/>
      <c r="D739" s="32"/>
      <c r="E739" s="32"/>
      <c r="F739" s="32"/>
      <c r="G739" s="32"/>
      <c r="H739" s="32"/>
      <c r="I739" s="32"/>
      <c r="J739" s="32"/>
      <c r="K739" s="32"/>
      <c r="L739" s="32"/>
      <c r="M739" s="32" t="str">
        <f t="shared" si="12"/>
        <v/>
      </c>
      <c r="N739" s="32"/>
    </row>
    <row r="740" spans="1:14" s="36" customFormat="1" ht="14.1" customHeight="1" x14ac:dyDescent="0.25">
      <c r="A740" s="32" t="str">
        <f>IF(B740&lt;&gt;"",_xlfn.TEXTJOIN("-",1,COUNTIF($B$2:$B740,B740),B740:E740),"")</f>
        <v/>
      </c>
      <c r="B740" s="32"/>
      <c r="C740" s="32"/>
      <c r="D740" s="32"/>
      <c r="E740" s="32"/>
      <c r="F740" s="32"/>
      <c r="G740" s="32"/>
      <c r="H740" s="32"/>
      <c r="I740" s="32"/>
      <c r="J740" s="32"/>
      <c r="K740" s="32"/>
      <c r="L740" s="32"/>
      <c r="M740" s="32" t="str">
        <f t="shared" si="12"/>
        <v/>
      </c>
      <c r="N740" s="32"/>
    </row>
    <row r="741" spans="1:14" s="36" customFormat="1" ht="14.1" customHeight="1" x14ac:dyDescent="0.25">
      <c r="A741" s="32" t="str">
        <f>IF(B741&lt;&gt;"",_xlfn.TEXTJOIN("-",1,COUNTIF($B$2:$B741,B741),B741:E741),"")</f>
        <v/>
      </c>
      <c r="B741" s="32"/>
      <c r="C741" s="32"/>
      <c r="D741" s="32"/>
      <c r="E741" s="32"/>
      <c r="F741" s="32"/>
      <c r="G741" s="32"/>
      <c r="H741" s="32"/>
      <c r="I741" s="32"/>
      <c r="J741" s="32"/>
      <c r="K741" s="32"/>
      <c r="L741" s="32"/>
      <c r="M741" s="32" t="str">
        <f t="shared" si="12"/>
        <v/>
      </c>
      <c r="N741" s="32"/>
    </row>
    <row r="742" spans="1:14" s="36" customFormat="1" ht="14.1" customHeight="1" x14ac:dyDescent="0.25">
      <c r="A742" s="32" t="str">
        <f>IF(B742&lt;&gt;"",_xlfn.TEXTJOIN("-",1,COUNTIF($B$2:$B742,B742),B742:E742),"")</f>
        <v/>
      </c>
      <c r="B742" s="32"/>
      <c r="C742" s="32"/>
      <c r="D742" s="32"/>
      <c r="E742" s="32"/>
      <c r="F742" s="32"/>
      <c r="G742" s="32"/>
      <c r="H742" s="32"/>
      <c r="I742" s="32"/>
      <c r="J742" s="32"/>
      <c r="K742" s="32"/>
      <c r="L742" s="32"/>
      <c r="M742" s="32" t="str">
        <f t="shared" si="12"/>
        <v/>
      </c>
      <c r="N742" s="32"/>
    </row>
    <row r="743" spans="1:14" s="36" customFormat="1" ht="14.1" customHeight="1" x14ac:dyDescent="0.25">
      <c r="A743" s="32" t="str">
        <f>IF(B743&lt;&gt;"",_xlfn.TEXTJOIN("-",1,COUNTIF($B$2:$B743,B743),B743:E743),"")</f>
        <v/>
      </c>
      <c r="B743" s="32"/>
      <c r="C743" s="32"/>
      <c r="D743" s="32"/>
      <c r="E743" s="32"/>
      <c r="F743" s="32"/>
      <c r="G743" s="32"/>
      <c r="H743" s="32"/>
      <c r="I743" s="32"/>
      <c r="J743" s="32"/>
      <c r="K743" s="32"/>
      <c r="L743" s="32"/>
      <c r="M743" s="32" t="str">
        <f t="shared" si="12"/>
        <v/>
      </c>
      <c r="N743" s="32"/>
    </row>
    <row r="744" spans="1:14" s="36" customFormat="1" ht="14.1" customHeight="1" x14ac:dyDescent="0.25">
      <c r="A744" s="32" t="str">
        <f>IF(B744&lt;&gt;"",_xlfn.TEXTJOIN("-",1,COUNTIF($B$2:$B744,B744),B744:E744),"")</f>
        <v/>
      </c>
      <c r="B744" s="32"/>
      <c r="C744" s="32"/>
      <c r="D744" s="32"/>
      <c r="E744" s="32"/>
      <c r="F744" s="32"/>
      <c r="G744" s="32"/>
      <c r="H744" s="32"/>
      <c r="I744" s="32"/>
      <c r="J744" s="32"/>
      <c r="K744" s="32"/>
      <c r="L744" s="32"/>
      <c r="M744" s="32" t="str">
        <f t="shared" si="12"/>
        <v/>
      </c>
      <c r="N744" s="32"/>
    </row>
    <row r="745" spans="1:14" s="36" customFormat="1" ht="14.1" customHeight="1" x14ac:dyDescent="0.25">
      <c r="A745" s="32" t="str">
        <f>IF(B745&lt;&gt;"",_xlfn.TEXTJOIN("-",1,COUNTIF($B$2:$B745,B745),B745:E745),"")</f>
        <v/>
      </c>
      <c r="B745" s="32"/>
      <c r="C745" s="32"/>
      <c r="D745" s="32"/>
      <c r="E745" s="32"/>
      <c r="F745" s="32"/>
      <c r="G745" s="32"/>
      <c r="H745" s="32"/>
      <c r="I745" s="32"/>
      <c r="J745" s="32"/>
      <c r="K745" s="32"/>
      <c r="L745" s="32"/>
      <c r="M745" s="32" t="str">
        <f t="shared" si="12"/>
        <v/>
      </c>
      <c r="N745" s="32"/>
    </row>
    <row r="746" spans="1:14" s="36" customFormat="1" ht="14.1" customHeight="1" x14ac:dyDescent="0.25">
      <c r="A746" s="32" t="str">
        <f>IF(B746&lt;&gt;"",_xlfn.TEXTJOIN("-",1,COUNTIF($B$2:$B746,B746),B746:E746),"")</f>
        <v/>
      </c>
      <c r="B746" s="32"/>
      <c r="C746" s="32"/>
      <c r="D746" s="32"/>
      <c r="E746" s="32"/>
      <c r="F746" s="32"/>
      <c r="G746" s="32"/>
      <c r="H746" s="32"/>
      <c r="I746" s="32"/>
      <c r="J746" s="32"/>
      <c r="K746" s="32"/>
      <c r="L746" s="32"/>
      <c r="M746" s="32" t="str">
        <f t="shared" si="12"/>
        <v/>
      </c>
      <c r="N746" s="32"/>
    </row>
    <row r="747" spans="1:14" s="36" customFormat="1" ht="14.1" customHeight="1" x14ac:dyDescent="0.25">
      <c r="A747" s="32" t="str">
        <f>IF(B747&lt;&gt;"",_xlfn.TEXTJOIN("-",1,COUNTIF($B$2:$B747,B747),B747:E747),"")</f>
        <v/>
      </c>
      <c r="B747" s="32"/>
      <c r="C747" s="32"/>
      <c r="D747" s="32"/>
      <c r="E747" s="32"/>
      <c r="F747" s="32"/>
      <c r="G747" s="32"/>
      <c r="H747" s="32"/>
      <c r="I747" s="32"/>
      <c r="J747" s="32"/>
      <c r="K747" s="32"/>
      <c r="L747" s="32"/>
      <c r="M747" s="32" t="str">
        <f t="shared" si="12"/>
        <v/>
      </c>
      <c r="N747" s="32"/>
    </row>
    <row r="748" spans="1:14" s="36" customFormat="1" ht="14.1" customHeight="1" x14ac:dyDescent="0.25">
      <c r="A748" s="32" t="str">
        <f>IF(B748&lt;&gt;"",_xlfn.TEXTJOIN("-",1,COUNTIF($B$2:$B748,B748),B748:E748),"")</f>
        <v/>
      </c>
      <c r="B748" s="32"/>
      <c r="C748" s="32"/>
      <c r="D748" s="32"/>
      <c r="E748" s="32"/>
      <c r="F748" s="32"/>
      <c r="G748" s="32"/>
      <c r="H748" s="32"/>
      <c r="I748" s="32"/>
      <c r="J748" s="32"/>
      <c r="K748" s="32"/>
      <c r="L748" s="32"/>
      <c r="M748" s="32" t="str">
        <f t="shared" si="12"/>
        <v/>
      </c>
      <c r="N748" s="32"/>
    </row>
    <row r="749" spans="1:14" s="36" customFormat="1" ht="14.1" customHeight="1" x14ac:dyDescent="0.25">
      <c r="A749" s="32" t="str">
        <f>IF(B749&lt;&gt;"",_xlfn.TEXTJOIN("-",1,COUNTIF($B$2:$B749,B749),B749:E749),"")</f>
        <v/>
      </c>
      <c r="B749" s="32"/>
      <c r="C749" s="32"/>
      <c r="D749" s="32"/>
      <c r="E749" s="32"/>
      <c r="F749" s="32"/>
      <c r="G749" s="32"/>
      <c r="H749" s="32"/>
      <c r="I749" s="32"/>
      <c r="J749" s="32"/>
      <c r="K749" s="32"/>
      <c r="L749" s="32"/>
      <c r="M749" s="32" t="str">
        <f t="shared" si="12"/>
        <v/>
      </c>
      <c r="N749" s="32"/>
    </row>
    <row r="750" spans="1:14" s="36" customFormat="1" ht="14.1" customHeight="1" x14ac:dyDescent="0.25">
      <c r="A750" s="32" t="str">
        <f>IF(B750&lt;&gt;"",_xlfn.TEXTJOIN("-",1,COUNTIF($B$2:$B750,B750),B750:E750),"")</f>
        <v/>
      </c>
      <c r="B750" s="32"/>
      <c r="C750" s="32"/>
      <c r="D750" s="32"/>
      <c r="E750" s="32"/>
      <c r="F750" s="32"/>
      <c r="G750" s="32"/>
      <c r="H750" s="32"/>
      <c r="I750" s="32"/>
      <c r="J750" s="32"/>
      <c r="K750" s="32"/>
      <c r="L750" s="32"/>
      <c r="M750" s="32" t="str">
        <f t="shared" si="12"/>
        <v/>
      </c>
      <c r="N750" s="32"/>
    </row>
    <row r="751" spans="1:14" s="36" customFormat="1" ht="14.1" customHeight="1" x14ac:dyDescent="0.25">
      <c r="A751" s="32" t="str">
        <f>IF(B751&lt;&gt;"",_xlfn.TEXTJOIN("-",1,COUNTIF($B$2:$B751,B751),B751:E751),"")</f>
        <v/>
      </c>
      <c r="B751" s="32"/>
      <c r="C751" s="32"/>
      <c r="D751" s="32"/>
      <c r="E751" s="32"/>
      <c r="F751" s="32"/>
      <c r="G751" s="32"/>
      <c r="H751" s="32"/>
      <c r="I751" s="32"/>
      <c r="J751" s="32"/>
      <c r="K751" s="32"/>
      <c r="L751" s="32"/>
      <c r="M751" s="32" t="str">
        <f t="shared" si="12"/>
        <v/>
      </c>
      <c r="N751" s="32"/>
    </row>
    <row r="752" spans="1:14" s="36" customFormat="1" ht="14.1" customHeight="1" x14ac:dyDescent="0.25">
      <c r="A752" s="32" t="str">
        <f>IF(B752&lt;&gt;"",_xlfn.TEXTJOIN("-",1,COUNTIF($B$2:$B752,B752),B752:E752),"")</f>
        <v/>
      </c>
      <c r="B752" s="32"/>
      <c r="C752" s="32"/>
      <c r="D752" s="32"/>
      <c r="E752" s="32"/>
      <c r="F752" s="32"/>
      <c r="G752" s="32"/>
      <c r="H752" s="32"/>
      <c r="I752" s="32"/>
      <c r="J752" s="32"/>
      <c r="K752" s="32"/>
      <c r="L752" s="32"/>
      <c r="M752" s="32" t="str">
        <f t="shared" si="12"/>
        <v/>
      </c>
      <c r="N752" s="32"/>
    </row>
    <row r="753" spans="1:14" s="36" customFormat="1" ht="14.1" customHeight="1" x14ac:dyDescent="0.25">
      <c r="A753" s="32" t="str">
        <f>IF(B753&lt;&gt;"",_xlfn.TEXTJOIN("-",1,COUNTIF($B$2:$B753,B753),B753:E753),"")</f>
        <v/>
      </c>
      <c r="B753" s="32"/>
      <c r="C753" s="32"/>
      <c r="D753" s="32"/>
      <c r="E753" s="32"/>
      <c r="F753" s="32"/>
      <c r="G753" s="32"/>
      <c r="H753" s="32"/>
      <c r="I753" s="32"/>
      <c r="J753" s="32"/>
      <c r="K753" s="32"/>
      <c r="L753" s="32"/>
      <c r="M753" s="32" t="str">
        <f t="shared" si="12"/>
        <v/>
      </c>
      <c r="N753" s="32"/>
    </row>
    <row r="754" spans="1:14" s="36" customFormat="1" ht="14.1" customHeight="1" x14ac:dyDescent="0.25">
      <c r="A754" s="32" t="str">
        <f>IF(B754&lt;&gt;"",_xlfn.TEXTJOIN("-",1,COUNTIF($B$2:$B754,B754),B754:E754),"")</f>
        <v/>
      </c>
      <c r="B754" s="32"/>
      <c r="C754" s="32"/>
      <c r="D754" s="32"/>
      <c r="E754" s="32"/>
      <c r="F754" s="32"/>
      <c r="G754" s="32"/>
      <c r="H754" s="32"/>
      <c r="I754" s="32"/>
      <c r="J754" s="32"/>
      <c r="K754" s="32"/>
      <c r="L754" s="32"/>
      <c r="M754" s="32" t="str">
        <f t="shared" si="12"/>
        <v/>
      </c>
      <c r="N754" s="32"/>
    </row>
    <row r="755" spans="1:14" s="36" customFormat="1" ht="14.1" customHeight="1" x14ac:dyDescent="0.25">
      <c r="A755" s="32" t="str">
        <f>IF(B755&lt;&gt;"",_xlfn.TEXTJOIN("-",1,COUNTIF($B$2:$B755,B755),B755:E755),"")</f>
        <v/>
      </c>
      <c r="B755" s="32"/>
      <c r="C755" s="32"/>
      <c r="D755" s="32"/>
      <c r="E755" s="32"/>
      <c r="F755" s="32"/>
      <c r="G755" s="32"/>
      <c r="H755" s="32"/>
      <c r="I755" s="32"/>
      <c r="J755" s="32"/>
      <c r="K755" s="32"/>
      <c r="L755" s="32"/>
      <c r="M755" s="32" t="str">
        <f t="shared" si="12"/>
        <v/>
      </c>
      <c r="N755" s="32"/>
    </row>
    <row r="756" spans="1:14" s="36" customFormat="1" ht="14.1" customHeight="1" x14ac:dyDescent="0.25">
      <c r="A756" s="32" t="str">
        <f>IF(B756&lt;&gt;"",_xlfn.TEXTJOIN("-",1,COUNTIF($B$2:$B756,B756),B756:E756),"")</f>
        <v/>
      </c>
      <c r="B756" s="32"/>
      <c r="C756" s="32"/>
      <c r="D756" s="32"/>
      <c r="E756" s="32"/>
      <c r="F756" s="32"/>
      <c r="G756" s="32"/>
      <c r="H756" s="32"/>
      <c r="I756" s="32"/>
      <c r="J756" s="32"/>
      <c r="K756" s="32"/>
      <c r="L756" s="32"/>
      <c r="M756" s="32" t="str">
        <f t="shared" si="12"/>
        <v/>
      </c>
      <c r="N756" s="32"/>
    </row>
    <row r="757" spans="1:14" s="36" customFormat="1" ht="14.1" customHeight="1" x14ac:dyDescent="0.25">
      <c r="A757" s="32" t="str">
        <f>IF(B757&lt;&gt;"",_xlfn.TEXTJOIN("-",1,COUNTIF($B$2:$B757,B757),B757:E757),"")</f>
        <v/>
      </c>
      <c r="B757" s="32"/>
      <c r="C757" s="32"/>
      <c r="D757" s="32"/>
      <c r="E757" s="32"/>
      <c r="F757" s="32"/>
      <c r="G757" s="32"/>
      <c r="H757" s="32"/>
      <c r="I757" s="32"/>
      <c r="J757" s="32"/>
      <c r="K757" s="32"/>
      <c r="L757" s="32"/>
      <c r="M757" s="32" t="str">
        <f t="shared" si="12"/>
        <v/>
      </c>
      <c r="N757" s="32"/>
    </row>
    <row r="758" spans="1:14" s="36" customFormat="1" ht="14.1" customHeight="1" x14ac:dyDescent="0.25">
      <c r="A758" s="32" t="str">
        <f>IF(B758&lt;&gt;"",_xlfn.TEXTJOIN("-",1,COUNTIF($B$2:$B758,B758),B758:E758),"")</f>
        <v/>
      </c>
      <c r="B758" s="32"/>
      <c r="C758" s="32"/>
      <c r="D758" s="32"/>
      <c r="E758" s="32"/>
      <c r="F758" s="32"/>
      <c r="G758" s="32"/>
      <c r="H758" s="32"/>
      <c r="I758" s="32"/>
      <c r="J758" s="32"/>
      <c r="K758" s="32"/>
      <c r="L758" s="32"/>
      <c r="M758" s="32" t="str">
        <f t="shared" si="12"/>
        <v/>
      </c>
      <c r="N758" s="32"/>
    </row>
    <row r="759" spans="1:14" s="36" customFormat="1" ht="14.1" customHeight="1" x14ac:dyDescent="0.25">
      <c r="A759" s="32" t="str">
        <f>IF(B759&lt;&gt;"",_xlfn.TEXTJOIN("-",1,COUNTIF($B$2:$B759,B759),B759:E759),"")</f>
        <v/>
      </c>
      <c r="B759" s="32"/>
      <c r="C759" s="32"/>
      <c r="D759" s="32"/>
      <c r="E759" s="32"/>
      <c r="F759" s="32"/>
      <c r="G759" s="32"/>
      <c r="H759" s="32"/>
      <c r="I759" s="32"/>
      <c r="J759" s="32"/>
      <c r="K759" s="32"/>
      <c r="L759" s="32"/>
      <c r="M759" s="32" t="str">
        <f t="shared" si="12"/>
        <v/>
      </c>
      <c r="N759" s="32"/>
    </row>
    <row r="760" spans="1:14" s="36" customFormat="1" ht="14.1" customHeight="1" x14ac:dyDescent="0.25">
      <c r="A760" s="32" t="str">
        <f>IF(B760&lt;&gt;"",_xlfn.TEXTJOIN("-",1,COUNTIF($B$2:$B760,B760),B760:E760),"")</f>
        <v/>
      </c>
      <c r="B760" s="32"/>
      <c r="C760" s="32"/>
      <c r="D760" s="32"/>
      <c r="E760" s="32"/>
      <c r="F760" s="32"/>
      <c r="G760" s="32"/>
      <c r="H760" s="32"/>
      <c r="I760" s="32"/>
      <c r="J760" s="32"/>
      <c r="K760" s="32"/>
      <c r="L760" s="32"/>
      <c r="M760" s="32" t="str">
        <f t="shared" si="12"/>
        <v/>
      </c>
      <c r="N760" s="32"/>
    </row>
    <row r="761" spans="1:14" s="36" customFormat="1" ht="14.1" customHeight="1" x14ac:dyDescent="0.25">
      <c r="A761" s="32" t="str">
        <f>IF(B761&lt;&gt;"",_xlfn.TEXTJOIN("-",1,COUNTIF($B$2:$B761,B761),B761:E761),"")</f>
        <v/>
      </c>
      <c r="B761" s="32"/>
      <c r="C761" s="32"/>
      <c r="D761" s="32"/>
      <c r="E761" s="32"/>
      <c r="F761" s="32"/>
      <c r="G761" s="32"/>
      <c r="H761" s="32"/>
      <c r="I761" s="32"/>
      <c r="J761" s="32"/>
      <c r="K761" s="32"/>
      <c r="L761" s="32"/>
      <c r="M761" s="32" t="str">
        <f t="shared" si="12"/>
        <v/>
      </c>
      <c r="N761" s="32"/>
    </row>
    <row r="762" spans="1:14" s="36" customFormat="1" ht="14.1" customHeight="1" x14ac:dyDescent="0.25">
      <c r="A762" s="32" t="str">
        <f>IF(B762&lt;&gt;"",_xlfn.TEXTJOIN("-",1,COUNTIF($B$2:$B762,B762),B762:E762),"")</f>
        <v/>
      </c>
      <c r="B762" s="32"/>
      <c r="C762" s="32"/>
      <c r="D762" s="32"/>
      <c r="E762" s="32"/>
      <c r="F762" s="32"/>
      <c r="G762" s="32"/>
      <c r="H762" s="32"/>
      <c r="I762" s="32"/>
      <c r="J762" s="32"/>
      <c r="K762" s="32"/>
      <c r="L762" s="32"/>
      <c r="M762" s="32" t="str">
        <f t="shared" si="12"/>
        <v/>
      </c>
      <c r="N762" s="32"/>
    </row>
    <row r="763" spans="1:14" s="36" customFormat="1" ht="14.1" customHeight="1" x14ac:dyDescent="0.25">
      <c r="A763" s="32" t="str">
        <f>IF(B763&lt;&gt;"",_xlfn.TEXTJOIN("-",1,COUNTIF($B$2:$B763,B763),B763:E763),"")</f>
        <v/>
      </c>
      <c r="B763" s="32"/>
      <c r="C763" s="32"/>
      <c r="D763" s="32"/>
      <c r="E763" s="32"/>
      <c r="F763" s="32"/>
      <c r="G763" s="32"/>
      <c r="H763" s="32"/>
      <c r="I763" s="32"/>
      <c r="J763" s="32"/>
      <c r="K763" s="32"/>
      <c r="L763" s="32"/>
      <c r="M763" s="32" t="str">
        <f t="shared" si="12"/>
        <v/>
      </c>
      <c r="N763" s="32"/>
    </row>
    <row r="764" spans="1:14" s="36" customFormat="1" ht="14.1" customHeight="1" x14ac:dyDescent="0.25">
      <c r="A764" s="32" t="str">
        <f>IF(B764&lt;&gt;"",_xlfn.TEXTJOIN("-",1,COUNTIF($B$2:$B764,B764),B764:E764),"")</f>
        <v/>
      </c>
      <c r="B764" s="32"/>
      <c r="C764" s="32"/>
      <c r="D764" s="32"/>
      <c r="E764" s="32"/>
      <c r="F764" s="32"/>
      <c r="G764" s="32"/>
      <c r="H764" s="32"/>
      <c r="I764" s="32"/>
      <c r="J764" s="32"/>
      <c r="K764" s="32"/>
      <c r="L764" s="32"/>
      <c r="M764" s="32" t="str">
        <f t="shared" si="12"/>
        <v/>
      </c>
      <c r="N764" s="32"/>
    </row>
    <row r="765" spans="1:14" s="36" customFormat="1" ht="14.1" customHeight="1" x14ac:dyDescent="0.25">
      <c r="A765" s="32" t="str">
        <f>IF(B765&lt;&gt;"",_xlfn.TEXTJOIN("-",1,COUNTIF($B$2:$B765,B765),B765:E765),"")</f>
        <v/>
      </c>
      <c r="B765" s="32"/>
      <c r="C765" s="32"/>
      <c r="D765" s="32"/>
      <c r="E765" s="32"/>
      <c r="F765" s="32"/>
      <c r="G765" s="32"/>
      <c r="H765" s="32"/>
      <c r="I765" s="32"/>
      <c r="J765" s="32"/>
      <c r="K765" s="32"/>
      <c r="L765" s="32"/>
      <c r="M765" s="32" t="str">
        <f t="shared" si="12"/>
        <v/>
      </c>
      <c r="N765" s="32"/>
    </row>
    <row r="766" spans="1:14" s="36" customFormat="1" ht="14.1" customHeight="1" x14ac:dyDescent="0.25">
      <c r="A766" s="32" t="str">
        <f>IF(B766&lt;&gt;"",_xlfn.TEXTJOIN("-",1,COUNTIF($B$2:$B766,B766),B766:E766),"")</f>
        <v/>
      </c>
      <c r="B766" s="32"/>
      <c r="C766" s="32"/>
      <c r="D766" s="32"/>
      <c r="E766" s="32"/>
      <c r="F766" s="32"/>
      <c r="G766" s="32"/>
      <c r="H766" s="32"/>
      <c r="I766" s="32"/>
      <c r="J766" s="32"/>
      <c r="K766" s="32"/>
      <c r="L766" s="32"/>
      <c r="M766" s="32" t="str">
        <f t="shared" si="12"/>
        <v/>
      </c>
      <c r="N766" s="32"/>
    </row>
    <row r="767" spans="1:14" s="36" customFormat="1" ht="14.1" customHeight="1" x14ac:dyDescent="0.25">
      <c r="A767" s="32" t="str">
        <f>IF(B767&lt;&gt;"",_xlfn.TEXTJOIN("-",1,COUNTIF($B$2:$B767,B767),B767:E767),"")</f>
        <v/>
      </c>
      <c r="B767" s="32"/>
      <c r="C767" s="32"/>
      <c r="D767" s="32"/>
      <c r="E767" s="32"/>
      <c r="F767" s="32"/>
      <c r="G767" s="32"/>
      <c r="H767" s="32"/>
      <c r="I767" s="32"/>
      <c r="J767" s="32"/>
      <c r="K767" s="32"/>
      <c r="L767" s="32"/>
      <c r="M767" s="32" t="str">
        <f t="shared" si="12"/>
        <v/>
      </c>
      <c r="N767" s="32"/>
    </row>
    <row r="768" spans="1:14" s="36" customFormat="1" ht="14.1" customHeight="1" x14ac:dyDescent="0.25">
      <c r="A768" s="32" t="str">
        <f>IF(B768&lt;&gt;"",_xlfn.TEXTJOIN("-",1,COUNTIF($B$2:$B768,B768),B768:E768),"")</f>
        <v/>
      </c>
      <c r="B768" s="32"/>
      <c r="C768" s="32"/>
      <c r="D768" s="32"/>
      <c r="E768" s="32"/>
      <c r="F768" s="32"/>
      <c r="G768" s="32"/>
      <c r="H768" s="32"/>
      <c r="I768" s="32"/>
      <c r="J768" s="32"/>
      <c r="K768" s="32"/>
      <c r="L768" s="32"/>
      <c r="M768" s="32" t="str">
        <f t="shared" si="12"/>
        <v/>
      </c>
      <c r="N768" s="32"/>
    </row>
    <row r="769" spans="1:14" s="36" customFormat="1" ht="14.1" customHeight="1" x14ac:dyDescent="0.25">
      <c r="A769" s="32" t="str">
        <f>IF(B769&lt;&gt;"",_xlfn.TEXTJOIN("-",1,COUNTIF($B$2:$B769,B769),B769:E769),"")</f>
        <v/>
      </c>
      <c r="B769" s="32"/>
      <c r="C769" s="32"/>
      <c r="D769" s="32"/>
      <c r="E769" s="32"/>
      <c r="F769" s="32"/>
      <c r="G769" s="32"/>
      <c r="H769" s="32"/>
      <c r="I769" s="32"/>
      <c r="J769" s="32"/>
      <c r="K769" s="32"/>
      <c r="L769" s="32"/>
      <c r="M769" s="32" t="str">
        <f t="shared" si="12"/>
        <v/>
      </c>
      <c r="N769" s="32"/>
    </row>
    <row r="770" spans="1:14" s="36" customFormat="1" ht="14.1" customHeight="1" x14ac:dyDescent="0.25">
      <c r="A770" s="32" t="str">
        <f>IF(B770&lt;&gt;"",_xlfn.TEXTJOIN("-",1,COUNTIF($B$2:$B770,B770),B770:E770),"")</f>
        <v/>
      </c>
      <c r="B770" s="32"/>
      <c r="C770" s="32"/>
      <c r="D770" s="32"/>
      <c r="E770" s="32"/>
      <c r="F770" s="32"/>
      <c r="G770" s="32"/>
      <c r="H770" s="32"/>
      <c r="I770" s="32"/>
      <c r="J770" s="32"/>
      <c r="K770" s="32"/>
      <c r="L770" s="32"/>
      <c r="M770" s="32" t="str">
        <f t="shared" si="12"/>
        <v/>
      </c>
      <c r="N770" s="32"/>
    </row>
    <row r="771" spans="1:14" s="36" customFormat="1" ht="14.1" customHeight="1" x14ac:dyDescent="0.25">
      <c r="A771" s="32" t="str">
        <f>IF(B771&lt;&gt;"",_xlfn.TEXTJOIN("-",1,COUNTIF($B$2:$B771,B771),B771:E771),"")</f>
        <v/>
      </c>
      <c r="B771" s="32"/>
      <c r="C771" s="32"/>
      <c r="D771" s="32"/>
      <c r="E771" s="32"/>
      <c r="F771" s="32"/>
      <c r="G771" s="32"/>
      <c r="H771" s="32"/>
      <c r="I771" s="32"/>
      <c r="J771" s="32"/>
      <c r="K771" s="32"/>
      <c r="L771" s="32"/>
      <c r="M771" s="32" t="str">
        <f t="shared" ref="M771:M834" si="13">IF(B771="FN",_xlfn.CONCAT("egor.v.ivanov+",LEFT(C771,1),"_",LEFT(D771,2),"_",E771,"@outlook.com"),"")</f>
        <v/>
      </c>
      <c r="N771" s="32"/>
    </row>
    <row r="772" spans="1:14" s="36" customFormat="1" ht="14.1" customHeight="1" x14ac:dyDescent="0.25">
      <c r="A772" s="32" t="str">
        <f>IF(B772&lt;&gt;"",_xlfn.TEXTJOIN("-",1,COUNTIF($B$2:$B772,B772),B772:E772),"")</f>
        <v/>
      </c>
      <c r="B772" s="32"/>
      <c r="C772" s="32"/>
      <c r="D772" s="32"/>
      <c r="E772" s="32"/>
      <c r="F772" s="32"/>
      <c r="G772" s="32"/>
      <c r="H772" s="32"/>
      <c r="I772" s="32"/>
      <c r="J772" s="32"/>
      <c r="K772" s="32"/>
      <c r="L772" s="32"/>
      <c r="M772" s="32" t="str">
        <f t="shared" si="13"/>
        <v/>
      </c>
      <c r="N772" s="32"/>
    </row>
    <row r="773" spans="1:14" s="36" customFormat="1" ht="14.1" customHeight="1" x14ac:dyDescent="0.25">
      <c r="A773" s="32" t="str">
        <f>IF(B773&lt;&gt;"",_xlfn.TEXTJOIN("-",1,COUNTIF($B$2:$B773,B773),B773:E773),"")</f>
        <v/>
      </c>
      <c r="B773" s="32"/>
      <c r="C773" s="32"/>
      <c r="D773" s="32"/>
      <c r="E773" s="32"/>
      <c r="F773" s="32"/>
      <c r="G773" s="32"/>
      <c r="H773" s="32"/>
      <c r="I773" s="32"/>
      <c r="J773" s="32"/>
      <c r="K773" s="32"/>
      <c r="L773" s="32"/>
      <c r="M773" s="32" t="str">
        <f t="shared" si="13"/>
        <v/>
      </c>
      <c r="N773" s="32"/>
    </row>
    <row r="774" spans="1:14" s="36" customFormat="1" ht="14.1" customHeight="1" x14ac:dyDescent="0.25">
      <c r="A774" s="32" t="str">
        <f>IF(B774&lt;&gt;"",_xlfn.TEXTJOIN("-",1,COUNTIF($B$2:$B774,B774),B774:E774),"")</f>
        <v/>
      </c>
      <c r="B774" s="32"/>
      <c r="C774" s="32"/>
      <c r="D774" s="32"/>
      <c r="E774" s="32"/>
      <c r="F774" s="32"/>
      <c r="G774" s="32"/>
      <c r="H774" s="32"/>
      <c r="I774" s="32"/>
      <c r="J774" s="32"/>
      <c r="K774" s="32"/>
      <c r="L774" s="32"/>
      <c r="M774" s="32" t="str">
        <f t="shared" si="13"/>
        <v/>
      </c>
      <c r="N774" s="32"/>
    </row>
    <row r="775" spans="1:14" s="36" customFormat="1" ht="14.1" customHeight="1" x14ac:dyDescent="0.25">
      <c r="A775" s="32" t="str">
        <f>IF(B775&lt;&gt;"",_xlfn.TEXTJOIN("-",1,COUNTIF($B$2:$B775,B775),B775:E775),"")</f>
        <v/>
      </c>
      <c r="B775" s="32"/>
      <c r="C775" s="32"/>
      <c r="D775" s="32"/>
      <c r="E775" s="32"/>
      <c r="F775" s="32"/>
      <c r="G775" s="32"/>
      <c r="H775" s="32"/>
      <c r="I775" s="32"/>
      <c r="J775" s="32"/>
      <c r="K775" s="32"/>
      <c r="L775" s="32"/>
      <c r="M775" s="32" t="str">
        <f t="shared" si="13"/>
        <v/>
      </c>
      <c r="N775" s="32"/>
    </row>
    <row r="776" spans="1:14" s="36" customFormat="1" ht="14.1" customHeight="1" x14ac:dyDescent="0.25">
      <c r="A776" s="32" t="str">
        <f>IF(B776&lt;&gt;"",_xlfn.TEXTJOIN("-",1,COUNTIF($B$2:$B776,B776),B776:E776),"")</f>
        <v/>
      </c>
      <c r="B776" s="32"/>
      <c r="C776" s="32"/>
      <c r="D776" s="32"/>
      <c r="E776" s="32"/>
      <c r="F776" s="32"/>
      <c r="G776" s="32"/>
      <c r="H776" s="32"/>
      <c r="I776" s="32"/>
      <c r="J776" s="32"/>
      <c r="K776" s="32"/>
      <c r="L776" s="32"/>
      <c r="M776" s="32" t="str">
        <f t="shared" si="13"/>
        <v/>
      </c>
      <c r="N776" s="32"/>
    </row>
    <row r="777" spans="1:14" s="36" customFormat="1" ht="14.1" customHeight="1" x14ac:dyDescent="0.25">
      <c r="A777" s="32" t="str">
        <f>IF(B777&lt;&gt;"",_xlfn.TEXTJOIN("-",1,COUNTIF($B$2:$B777,B777),B777:E777),"")</f>
        <v/>
      </c>
      <c r="B777" s="32"/>
      <c r="C777" s="32"/>
      <c r="D777" s="32"/>
      <c r="E777" s="32"/>
      <c r="F777" s="32"/>
      <c r="G777" s="32"/>
      <c r="H777" s="32"/>
      <c r="I777" s="32"/>
      <c r="J777" s="32"/>
      <c r="K777" s="32"/>
      <c r="L777" s="32"/>
      <c r="M777" s="32" t="str">
        <f t="shared" si="13"/>
        <v/>
      </c>
      <c r="N777" s="32"/>
    </row>
    <row r="778" spans="1:14" s="36" customFormat="1" ht="14.1" customHeight="1" x14ac:dyDescent="0.25">
      <c r="A778" s="32" t="str">
        <f>IF(B778&lt;&gt;"",_xlfn.TEXTJOIN("-",1,COUNTIF($B$2:$B778,B778),B778:E778),"")</f>
        <v/>
      </c>
      <c r="B778" s="32"/>
      <c r="C778" s="32"/>
      <c r="D778" s="32"/>
      <c r="E778" s="32"/>
      <c r="F778" s="32"/>
      <c r="G778" s="32"/>
      <c r="H778" s="32"/>
      <c r="I778" s="32"/>
      <c r="J778" s="32"/>
      <c r="K778" s="32"/>
      <c r="L778" s="32"/>
      <c r="M778" s="32" t="str">
        <f t="shared" si="13"/>
        <v/>
      </c>
      <c r="N778" s="32"/>
    </row>
    <row r="779" spans="1:14" s="36" customFormat="1" ht="14.1" customHeight="1" x14ac:dyDescent="0.25">
      <c r="A779" s="32" t="str">
        <f>IF(B779&lt;&gt;"",_xlfn.TEXTJOIN("-",1,COUNTIF($B$2:$B779,B779),B779:E779),"")</f>
        <v/>
      </c>
      <c r="B779" s="32"/>
      <c r="C779" s="32"/>
      <c r="D779" s="32"/>
      <c r="E779" s="32"/>
      <c r="F779" s="32"/>
      <c r="G779" s="32"/>
      <c r="H779" s="32"/>
      <c r="I779" s="32"/>
      <c r="J779" s="32"/>
      <c r="K779" s="32"/>
      <c r="L779" s="32"/>
      <c r="M779" s="32" t="str">
        <f t="shared" si="13"/>
        <v/>
      </c>
      <c r="N779" s="32"/>
    </row>
    <row r="780" spans="1:14" s="36" customFormat="1" ht="14.1" customHeight="1" x14ac:dyDescent="0.25">
      <c r="A780" s="32" t="str">
        <f>IF(B780&lt;&gt;"",_xlfn.TEXTJOIN("-",1,COUNTIF($B$2:$B780,B780),B780:E780),"")</f>
        <v/>
      </c>
      <c r="B780" s="32"/>
      <c r="C780" s="32"/>
      <c r="D780" s="32"/>
      <c r="E780" s="32"/>
      <c r="F780" s="32"/>
      <c r="G780" s="32"/>
      <c r="H780" s="32"/>
      <c r="I780" s="32"/>
      <c r="J780" s="32"/>
      <c r="K780" s="32"/>
      <c r="L780" s="32"/>
      <c r="M780" s="32" t="str">
        <f t="shared" si="13"/>
        <v/>
      </c>
      <c r="N780" s="32"/>
    </row>
    <row r="781" spans="1:14" s="36" customFormat="1" ht="14.1" customHeight="1" x14ac:dyDescent="0.25">
      <c r="A781" s="32" t="str">
        <f>IF(B781&lt;&gt;"",_xlfn.TEXTJOIN("-",1,COUNTIF($B$2:$B781,B781),B781:E781),"")</f>
        <v/>
      </c>
      <c r="B781" s="32"/>
      <c r="C781" s="32"/>
      <c r="D781" s="32"/>
      <c r="E781" s="32"/>
      <c r="F781" s="32"/>
      <c r="G781" s="32"/>
      <c r="H781" s="32"/>
      <c r="I781" s="32"/>
      <c r="J781" s="32"/>
      <c r="K781" s="32"/>
      <c r="L781" s="32"/>
      <c r="M781" s="32" t="str">
        <f t="shared" si="13"/>
        <v/>
      </c>
      <c r="N781" s="32"/>
    </row>
    <row r="782" spans="1:14" s="36" customFormat="1" ht="14.1" customHeight="1" x14ac:dyDescent="0.25">
      <c r="A782" s="32" t="str">
        <f>IF(B782&lt;&gt;"",_xlfn.TEXTJOIN("-",1,COUNTIF($B$2:$B782,B782),B782:E782),"")</f>
        <v/>
      </c>
      <c r="B782" s="32"/>
      <c r="C782" s="32"/>
      <c r="D782" s="32"/>
      <c r="E782" s="32"/>
      <c r="F782" s="32"/>
      <c r="G782" s="32"/>
      <c r="H782" s="32"/>
      <c r="I782" s="32"/>
      <c r="J782" s="32"/>
      <c r="K782" s="32"/>
      <c r="L782" s="32"/>
      <c r="M782" s="32" t="str">
        <f t="shared" si="13"/>
        <v/>
      </c>
      <c r="N782" s="32"/>
    </row>
    <row r="783" spans="1:14" s="36" customFormat="1" ht="14.1" customHeight="1" x14ac:dyDescent="0.25">
      <c r="A783" s="32" t="str">
        <f>IF(B783&lt;&gt;"",_xlfn.TEXTJOIN("-",1,COUNTIF($B$2:$B783,B783),B783:E783),"")</f>
        <v/>
      </c>
      <c r="B783" s="32"/>
      <c r="C783" s="32"/>
      <c r="D783" s="32"/>
      <c r="E783" s="32"/>
      <c r="F783" s="32"/>
      <c r="G783" s="32"/>
      <c r="H783" s="32"/>
      <c r="I783" s="32"/>
      <c r="J783" s="32"/>
      <c r="K783" s="32"/>
      <c r="L783" s="32"/>
      <c r="M783" s="32" t="str">
        <f t="shared" si="13"/>
        <v/>
      </c>
      <c r="N783" s="32"/>
    </row>
    <row r="784" spans="1:14" s="36" customFormat="1" ht="14.1" customHeight="1" x14ac:dyDescent="0.25">
      <c r="A784" s="32" t="str">
        <f>IF(B784&lt;&gt;"",_xlfn.TEXTJOIN("-",1,COUNTIF($B$2:$B784,B784),B784:E784),"")</f>
        <v/>
      </c>
      <c r="B784" s="32"/>
      <c r="C784" s="32"/>
      <c r="D784" s="32"/>
      <c r="E784" s="32"/>
      <c r="F784" s="32"/>
      <c r="G784" s="32"/>
      <c r="H784" s="32"/>
      <c r="I784" s="32"/>
      <c r="J784" s="32"/>
      <c r="K784" s="32"/>
      <c r="L784" s="32"/>
      <c r="M784" s="32" t="str">
        <f t="shared" si="13"/>
        <v/>
      </c>
      <c r="N784" s="32"/>
    </row>
    <row r="785" spans="1:14" s="36" customFormat="1" ht="14.1" customHeight="1" x14ac:dyDescent="0.25">
      <c r="A785" s="32" t="str">
        <f>IF(B785&lt;&gt;"",_xlfn.TEXTJOIN("-",1,COUNTIF($B$2:$B785,B785),B785:E785),"")</f>
        <v/>
      </c>
      <c r="B785" s="32"/>
      <c r="C785" s="32"/>
      <c r="D785" s="32"/>
      <c r="E785" s="32"/>
      <c r="F785" s="32"/>
      <c r="G785" s="32"/>
      <c r="H785" s="32"/>
      <c r="I785" s="32"/>
      <c r="J785" s="32"/>
      <c r="K785" s="32"/>
      <c r="L785" s="32"/>
      <c r="M785" s="32" t="str">
        <f t="shared" si="13"/>
        <v/>
      </c>
      <c r="N785" s="32"/>
    </row>
    <row r="786" spans="1:14" s="36" customFormat="1" ht="14.1" customHeight="1" x14ac:dyDescent="0.25">
      <c r="A786" s="32" t="str">
        <f>IF(B786&lt;&gt;"",_xlfn.TEXTJOIN("-",1,COUNTIF($B$2:$B786,B786),B786:E786),"")</f>
        <v/>
      </c>
      <c r="B786" s="32"/>
      <c r="C786" s="32"/>
      <c r="D786" s="32"/>
      <c r="E786" s="32"/>
      <c r="F786" s="32"/>
      <c r="G786" s="32"/>
      <c r="H786" s="32"/>
      <c r="I786" s="32"/>
      <c r="J786" s="32"/>
      <c r="K786" s="32"/>
      <c r="L786" s="32"/>
      <c r="M786" s="32" t="str">
        <f t="shared" si="13"/>
        <v/>
      </c>
      <c r="N786" s="32"/>
    </row>
    <row r="787" spans="1:14" s="36" customFormat="1" ht="14.1" customHeight="1" x14ac:dyDescent="0.25">
      <c r="A787" s="32" t="str">
        <f>IF(B787&lt;&gt;"",_xlfn.TEXTJOIN("-",1,COUNTIF($B$2:$B787,B787),B787:E787),"")</f>
        <v/>
      </c>
      <c r="B787" s="32"/>
      <c r="C787" s="32"/>
      <c r="D787" s="32"/>
      <c r="E787" s="32"/>
      <c r="F787" s="32"/>
      <c r="G787" s="32"/>
      <c r="H787" s="32"/>
      <c r="I787" s="32"/>
      <c r="J787" s="32"/>
      <c r="K787" s="32"/>
      <c r="L787" s="32"/>
      <c r="M787" s="32" t="str">
        <f t="shared" si="13"/>
        <v/>
      </c>
      <c r="N787" s="32"/>
    </row>
    <row r="788" spans="1:14" s="36" customFormat="1" ht="14.1" customHeight="1" x14ac:dyDescent="0.25">
      <c r="A788" s="32" t="str">
        <f>IF(B788&lt;&gt;"",_xlfn.TEXTJOIN("-",1,COUNTIF($B$2:$B788,B788),B788:E788),"")</f>
        <v/>
      </c>
      <c r="B788" s="32"/>
      <c r="C788" s="32"/>
      <c r="D788" s="32"/>
      <c r="E788" s="32"/>
      <c r="F788" s="32"/>
      <c r="G788" s="32"/>
      <c r="H788" s="32"/>
      <c r="I788" s="32"/>
      <c r="J788" s="32"/>
      <c r="K788" s="32"/>
      <c r="L788" s="32"/>
      <c r="M788" s="32" t="str">
        <f t="shared" si="13"/>
        <v/>
      </c>
      <c r="N788" s="32"/>
    </row>
    <row r="789" spans="1:14" s="36" customFormat="1" ht="14.1" customHeight="1" x14ac:dyDescent="0.25">
      <c r="A789" s="32" t="str">
        <f>IF(B789&lt;&gt;"",_xlfn.TEXTJOIN("-",1,COUNTIF($B$2:$B789,B789),B789:E789),"")</f>
        <v/>
      </c>
      <c r="B789" s="32"/>
      <c r="C789" s="32"/>
      <c r="D789" s="32"/>
      <c r="E789" s="32"/>
      <c r="F789" s="32"/>
      <c r="G789" s="32"/>
      <c r="H789" s="32"/>
      <c r="I789" s="32"/>
      <c r="J789" s="32"/>
      <c r="K789" s="32"/>
      <c r="L789" s="32"/>
      <c r="M789" s="32" t="str">
        <f t="shared" si="13"/>
        <v/>
      </c>
      <c r="N789" s="32"/>
    </row>
    <row r="790" spans="1:14" s="36" customFormat="1" ht="14.1" customHeight="1" x14ac:dyDescent="0.25">
      <c r="A790" s="32" t="str">
        <f>IF(B790&lt;&gt;"",_xlfn.TEXTJOIN("-",1,COUNTIF($B$2:$B790,B790),B790:E790),"")</f>
        <v/>
      </c>
      <c r="B790" s="32"/>
      <c r="C790" s="32"/>
      <c r="D790" s="32"/>
      <c r="E790" s="32"/>
      <c r="F790" s="32"/>
      <c r="G790" s="32"/>
      <c r="H790" s="32"/>
      <c r="I790" s="32"/>
      <c r="J790" s="32"/>
      <c r="K790" s="32"/>
      <c r="L790" s="32"/>
      <c r="M790" s="32" t="str">
        <f t="shared" si="13"/>
        <v/>
      </c>
      <c r="N790" s="32"/>
    </row>
    <row r="791" spans="1:14" s="36" customFormat="1" ht="14.1" customHeight="1" x14ac:dyDescent="0.25">
      <c r="A791" s="32" t="str">
        <f>IF(B791&lt;&gt;"",_xlfn.TEXTJOIN("-",1,COUNTIF($B$2:$B791,B791),B791:E791),"")</f>
        <v/>
      </c>
      <c r="B791" s="32"/>
      <c r="C791" s="32"/>
      <c r="D791" s="32"/>
      <c r="E791" s="32"/>
      <c r="F791" s="32"/>
      <c r="G791" s="32"/>
      <c r="H791" s="32"/>
      <c r="I791" s="32"/>
      <c r="J791" s="32"/>
      <c r="K791" s="32"/>
      <c r="L791" s="32"/>
      <c r="M791" s="32" t="str">
        <f t="shared" si="13"/>
        <v/>
      </c>
      <c r="N791" s="32"/>
    </row>
    <row r="792" spans="1:14" s="36" customFormat="1" ht="14.1" customHeight="1" x14ac:dyDescent="0.25">
      <c r="A792" s="32" t="str">
        <f>IF(B792&lt;&gt;"",_xlfn.TEXTJOIN("-",1,COUNTIF($B$2:$B792,B792),B792:E792),"")</f>
        <v/>
      </c>
      <c r="B792" s="32"/>
      <c r="C792" s="32"/>
      <c r="D792" s="32"/>
      <c r="E792" s="32"/>
      <c r="F792" s="32"/>
      <c r="G792" s="32"/>
      <c r="H792" s="32"/>
      <c r="I792" s="32"/>
      <c r="J792" s="32"/>
      <c r="K792" s="32"/>
      <c r="L792" s="32"/>
      <c r="M792" s="32" t="str">
        <f t="shared" si="13"/>
        <v/>
      </c>
      <c r="N792" s="32"/>
    </row>
    <row r="793" spans="1:14" s="36" customFormat="1" ht="14.1" customHeight="1" x14ac:dyDescent="0.25">
      <c r="A793" s="32" t="str">
        <f>IF(B793&lt;&gt;"",_xlfn.TEXTJOIN("-",1,COUNTIF($B$2:$B793,B793),B793:E793),"")</f>
        <v/>
      </c>
      <c r="B793" s="32"/>
      <c r="C793" s="32"/>
      <c r="D793" s="32"/>
      <c r="E793" s="32"/>
      <c r="F793" s="32"/>
      <c r="G793" s="32"/>
      <c r="H793" s="32"/>
      <c r="I793" s="32"/>
      <c r="J793" s="32"/>
      <c r="K793" s="32"/>
      <c r="L793" s="32"/>
      <c r="M793" s="32" t="str">
        <f t="shared" si="13"/>
        <v/>
      </c>
      <c r="N793" s="32"/>
    </row>
    <row r="794" spans="1:14" s="36" customFormat="1" ht="14.1" customHeight="1" x14ac:dyDescent="0.25">
      <c r="A794" s="32" t="str">
        <f>IF(B794&lt;&gt;"",_xlfn.TEXTJOIN("-",1,COUNTIF($B$2:$B794,B794),B794:E794),"")</f>
        <v/>
      </c>
      <c r="B794" s="32"/>
      <c r="C794" s="32"/>
      <c r="D794" s="32"/>
      <c r="E794" s="32"/>
      <c r="F794" s="32"/>
      <c r="G794" s="32"/>
      <c r="H794" s="32"/>
      <c r="I794" s="32"/>
      <c r="J794" s="32"/>
      <c r="K794" s="32"/>
      <c r="L794" s="32"/>
      <c r="M794" s="32" t="str">
        <f t="shared" si="13"/>
        <v/>
      </c>
      <c r="N794" s="32"/>
    </row>
    <row r="795" spans="1:14" s="36" customFormat="1" ht="14.1" customHeight="1" x14ac:dyDescent="0.25">
      <c r="A795" s="32" t="str">
        <f>IF(B795&lt;&gt;"",_xlfn.TEXTJOIN("-",1,COUNTIF($B$2:$B795,B795),B795:E795),"")</f>
        <v/>
      </c>
      <c r="B795" s="32"/>
      <c r="C795" s="32"/>
      <c r="D795" s="32"/>
      <c r="E795" s="32"/>
      <c r="F795" s="32"/>
      <c r="G795" s="32"/>
      <c r="H795" s="32"/>
      <c r="I795" s="32"/>
      <c r="J795" s="32"/>
      <c r="K795" s="32"/>
      <c r="L795" s="32"/>
      <c r="M795" s="32" t="str">
        <f t="shared" si="13"/>
        <v/>
      </c>
      <c r="N795" s="32"/>
    </row>
    <row r="796" spans="1:14" s="36" customFormat="1" ht="14.1" customHeight="1" x14ac:dyDescent="0.25">
      <c r="A796" s="32" t="str">
        <f>IF(B796&lt;&gt;"",_xlfn.TEXTJOIN("-",1,COUNTIF($B$2:$B796,B796),B796:E796),"")</f>
        <v/>
      </c>
      <c r="B796" s="32"/>
      <c r="C796" s="32"/>
      <c r="D796" s="32"/>
      <c r="E796" s="32"/>
      <c r="F796" s="32"/>
      <c r="G796" s="32"/>
      <c r="H796" s="32"/>
      <c r="I796" s="32"/>
      <c r="J796" s="32"/>
      <c r="K796" s="32"/>
      <c r="L796" s="32"/>
      <c r="M796" s="32" t="str">
        <f t="shared" si="13"/>
        <v/>
      </c>
      <c r="N796" s="32"/>
    </row>
    <row r="797" spans="1:14" s="36" customFormat="1" ht="14.1" customHeight="1" x14ac:dyDescent="0.25">
      <c r="A797" s="32" t="str">
        <f>IF(B797&lt;&gt;"",_xlfn.TEXTJOIN("-",1,COUNTIF($B$2:$B797,B797),B797:E797),"")</f>
        <v/>
      </c>
      <c r="B797" s="32"/>
      <c r="C797" s="32"/>
      <c r="D797" s="32"/>
      <c r="E797" s="32"/>
      <c r="F797" s="32"/>
      <c r="G797" s="32"/>
      <c r="H797" s="32"/>
      <c r="I797" s="32"/>
      <c r="J797" s="32"/>
      <c r="K797" s="32"/>
      <c r="L797" s="32"/>
      <c r="M797" s="32" t="str">
        <f t="shared" si="13"/>
        <v/>
      </c>
      <c r="N797" s="32"/>
    </row>
    <row r="798" spans="1:14" s="36" customFormat="1" ht="14.1" customHeight="1" x14ac:dyDescent="0.25">
      <c r="A798" s="32" t="str">
        <f>IF(B798&lt;&gt;"",_xlfn.TEXTJOIN("-",1,COUNTIF($B$2:$B798,B798),B798:E798),"")</f>
        <v/>
      </c>
      <c r="B798" s="32"/>
      <c r="C798" s="32"/>
      <c r="D798" s="32"/>
      <c r="E798" s="32"/>
      <c r="F798" s="32"/>
      <c r="G798" s="32"/>
      <c r="H798" s="32"/>
      <c r="I798" s="32"/>
      <c r="J798" s="32"/>
      <c r="K798" s="32"/>
      <c r="L798" s="32"/>
      <c r="M798" s="32" t="str">
        <f t="shared" si="13"/>
        <v/>
      </c>
      <c r="N798" s="32"/>
    </row>
    <row r="799" spans="1:14" s="36" customFormat="1" ht="14.1" customHeight="1" x14ac:dyDescent="0.25">
      <c r="A799" s="32" t="str">
        <f>IF(B799&lt;&gt;"",_xlfn.TEXTJOIN("-",1,COUNTIF($B$2:$B799,B799),B799:E799),"")</f>
        <v/>
      </c>
      <c r="B799" s="32"/>
      <c r="C799" s="32"/>
      <c r="D799" s="32"/>
      <c r="E799" s="32"/>
      <c r="F799" s="32"/>
      <c r="G799" s="32"/>
      <c r="H799" s="32"/>
      <c r="I799" s="32"/>
      <c r="J799" s="32"/>
      <c r="K799" s="32"/>
      <c r="L799" s="32"/>
      <c r="M799" s="32" t="str">
        <f t="shared" si="13"/>
        <v/>
      </c>
      <c r="N799" s="32"/>
    </row>
    <row r="800" spans="1:14" s="36" customFormat="1" ht="14.1" customHeight="1" x14ac:dyDescent="0.25">
      <c r="A800" s="32" t="str">
        <f>IF(B800&lt;&gt;"",_xlfn.TEXTJOIN("-",1,COUNTIF($B$2:$B800,B800),B800:E800),"")</f>
        <v/>
      </c>
      <c r="B800" s="32"/>
      <c r="C800" s="32"/>
      <c r="D800" s="32"/>
      <c r="E800" s="32"/>
      <c r="F800" s="32"/>
      <c r="G800" s="32"/>
      <c r="H800" s="32"/>
      <c r="I800" s="32"/>
      <c r="J800" s="32"/>
      <c r="K800" s="32"/>
      <c r="L800" s="32"/>
      <c r="M800" s="32" t="str">
        <f t="shared" si="13"/>
        <v/>
      </c>
      <c r="N800" s="32"/>
    </row>
    <row r="801" spans="1:14" s="36" customFormat="1" ht="14.1" customHeight="1" x14ac:dyDescent="0.25">
      <c r="A801" s="32" t="str">
        <f>IF(B801&lt;&gt;"",_xlfn.TEXTJOIN("-",1,COUNTIF($B$2:$B801,B801),B801:E801),"")</f>
        <v/>
      </c>
      <c r="B801" s="32"/>
      <c r="C801" s="32"/>
      <c r="D801" s="32"/>
      <c r="E801" s="32"/>
      <c r="F801" s="32"/>
      <c r="G801" s="32"/>
      <c r="H801" s="32"/>
      <c r="I801" s="32"/>
      <c r="J801" s="32"/>
      <c r="K801" s="32"/>
      <c r="L801" s="32"/>
      <c r="M801" s="32" t="str">
        <f t="shared" si="13"/>
        <v/>
      </c>
      <c r="N801" s="32"/>
    </row>
    <row r="802" spans="1:14" s="36" customFormat="1" ht="14.1" customHeight="1" x14ac:dyDescent="0.25">
      <c r="A802" s="32" t="str">
        <f>IF(B802&lt;&gt;"",_xlfn.TEXTJOIN("-",1,COUNTIF($B$2:$B802,B802),B802:E802),"")</f>
        <v/>
      </c>
      <c r="B802" s="32"/>
      <c r="C802" s="32"/>
      <c r="D802" s="32"/>
      <c r="E802" s="32"/>
      <c r="F802" s="32"/>
      <c r="G802" s="32"/>
      <c r="H802" s="32"/>
      <c r="I802" s="32"/>
      <c r="J802" s="32"/>
      <c r="K802" s="32"/>
      <c r="L802" s="32"/>
      <c r="M802" s="32" t="str">
        <f t="shared" si="13"/>
        <v/>
      </c>
      <c r="N802" s="32"/>
    </row>
    <row r="803" spans="1:14" s="36" customFormat="1" ht="14.1" customHeight="1" x14ac:dyDescent="0.25">
      <c r="A803" s="32" t="str">
        <f>IF(B803&lt;&gt;"",_xlfn.TEXTJOIN("-",1,COUNTIF($B$2:$B803,B803),B803:E803),"")</f>
        <v/>
      </c>
      <c r="B803" s="32"/>
      <c r="C803" s="32"/>
      <c r="D803" s="32"/>
      <c r="E803" s="32"/>
      <c r="F803" s="32"/>
      <c r="G803" s="32"/>
      <c r="H803" s="32"/>
      <c r="I803" s="32"/>
      <c r="J803" s="32"/>
      <c r="K803" s="32"/>
      <c r="L803" s="32"/>
      <c r="M803" s="32" t="str">
        <f t="shared" si="13"/>
        <v/>
      </c>
      <c r="N803" s="32"/>
    </row>
    <row r="804" spans="1:14" s="36" customFormat="1" ht="14.1" customHeight="1" x14ac:dyDescent="0.25">
      <c r="A804" s="32" t="str">
        <f>IF(B804&lt;&gt;"",_xlfn.TEXTJOIN("-",1,COUNTIF($B$2:$B804,B804),B804:E804),"")</f>
        <v/>
      </c>
      <c r="B804" s="32"/>
      <c r="C804" s="32"/>
      <c r="D804" s="32"/>
      <c r="E804" s="32"/>
      <c r="F804" s="32"/>
      <c r="G804" s="32"/>
      <c r="H804" s="32"/>
      <c r="I804" s="32"/>
      <c r="J804" s="32"/>
      <c r="K804" s="32"/>
      <c r="L804" s="32"/>
      <c r="M804" s="32" t="str">
        <f t="shared" si="13"/>
        <v/>
      </c>
      <c r="N804" s="32"/>
    </row>
    <row r="805" spans="1:14" s="36" customFormat="1" ht="14.1" customHeight="1" x14ac:dyDescent="0.25">
      <c r="A805" s="32" t="str">
        <f>IF(B805&lt;&gt;"",_xlfn.TEXTJOIN("-",1,COUNTIF($B$2:$B805,B805),B805:E805),"")</f>
        <v/>
      </c>
      <c r="B805" s="32"/>
      <c r="C805" s="32"/>
      <c r="D805" s="32"/>
      <c r="E805" s="32"/>
      <c r="F805" s="32"/>
      <c r="G805" s="32"/>
      <c r="H805" s="32"/>
      <c r="I805" s="32"/>
      <c r="J805" s="32"/>
      <c r="K805" s="32"/>
      <c r="L805" s="32"/>
      <c r="M805" s="32" t="str">
        <f t="shared" si="13"/>
        <v/>
      </c>
      <c r="N805" s="32"/>
    </row>
    <row r="806" spans="1:14" s="36" customFormat="1" ht="14.1" customHeight="1" x14ac:dyDescent="0.25">
      <c r="A806" s="32" t="str">
        <f>IF(B806&lt;&gt;"",_xlfn.TEXTJOIN("-",1,COUNTIF($B$2:$B806,B806),B806:E806),"")</f>
        <v/>
      </c>
      <c r="B806" s="32"/>
      <c r="C806" s="32"/>
      <c r="D806" s="32"/>
      <c r="E806" s="32"/>
      <c r="F806" s="32"/>
      <c r="G806" s="32"/>
      <c r="H806" s="32"/>
      <c r="I806" s="32"/>
      <c r="J806" s="32"/>
      <c r="K806" s="32"/>
      <c r="L806" s="32"/>
      <c r="M806" s="32" t="str">
        <f t="shared" si="13"/>
        <v/>
      </c>
      <c r="N806" s="32"/>
    </row>
    <row r="807" spans="1:14" s="36" customFormat="1" ht="14.1" customHeight="1" x14ac:dyDescent="0.25">
      <c r="A807" s="32" t="str">
        <f>IF(B807&lt;&gt;"",_xlfn.TEXTJOIN("-",1,COUNTIF($B$2:$B807,B807),B807:E807),"")</f>
        <v/>
      </c>
      <c r="B807" s="32"/>
      <c r="C807" s="32"/>
      <c r="D807" s="32"/>
      <c r="E807" s="32"/>
      <c r="F807" s="32"/>
      <c r="G807" s="32"/>
      <c r="H807" s="32"/>
      <c r="I807" s="32"/>
      <c r="J807" s="32"/>
      <c r="K807" s="32"/>
      <c r="L807" s="32"/>
      <c r="M807" s="32" t="str">
        <f t="shared" si="13"/>
        <v/>
      </c>
      <c r="N807" s="32"/>
    </row>
    <row r="808" spans="1:14" s="36" customFormat="1" ht="14.1" customHeight="1" x14ac:dyDescent="0.25">
      <c r="A808" s="32" t="str">
        <f>IF(B808&lt;&gt;"",_xlfn.TEXTJOIN("-",1,COUNTIF($B$2:$B808,B808),B808:E808),"")</f>
        <v/>
      </c>
      <c r="B808" s="32"/>
      <c r="C808" s="32"/>
      <c r="D808" s="32"/>
      <c r="E808" s="32"/>
      <c r="F808" s="32"/>
      <c r="G808" s="32"/>
      <c r="H808" s="32"/>
      <c r="I808" s="32"/>
      <c r="J808" s="32"/>
      <c r="K808" s="32"/>
      <c r="L808" s="32"/>
      <c r="M808" s="32" t="str">
        <f t="shared" si="13"/>
        <v/>
      </c>
      <c r="N808" s="32"/>
    </row>
    <row r="809" spans="1:14" s="36" customFormat="1" ht="14.1" customHeight="1" x14ac:dyDescent="0.25">
      <c r="A809" s="32" t="str">
        <f>IF(B809&lt;&gt;"",_xlfn.TEXTJOIN("-",1,COUNTIF($B$2:$B809,B809),B809:E809),"")</f>
        <v/>
      </c>
      <c r="B809" s="32"/>
      <c r="C809" s="32"/>
      <c r="D809" s="32"/>
      <c r="E809" s="32"/>
      <c r="F809" s="32"/>
      <c r="G809" s="32"/>
      <c r="H809" s="32"/>
      <c r="I809" s="32"/>
      <c r="J809" s="32"/>
      <c r="K809" s="32"/>
      <c r="L809" s="32"/>
      <c r="M809" s="32" t="str">
        <f t="shared" si="13"/>
        <v/>
      </c>
      <c r="N809" s="32"/>
    </row>
    <row r="810" spans="1:14" s="36" customFormat="1" ht="14.1" customHeight="1" x14ac:dyDescent="0.25">
      <c r="A810" s="32" t="str">
        <f>IF(B810&lt;&gt;"",_xlfn.TEXTJOIN("-",1,COUNTIF($B$2:$B810,B810),B810:E810),"")</f>
        <v/>
      </c>
      <c r="B810" s="32"/>
      <c r="C810" s="32"/>
      <c r="D810" s="32"/>
      <c r="E810" s="32"/>
      <c r="F810" s="32"/>
      <c r="G810" s="32"/>
      <c r="H810" s="32"/>
      <c r="I810" s="32"/>
      <c r="J810" s="32"/>
      <c r="K810" s="32"/>
      <c r="L810" s="32"/>
      <c r="M810" s="32" t="str">
        <f t="shared" si="13"/>
        <v/>
      </c>
      <c r="N810" s="32"/>
    </row>
    <row r="811" spans="1:14" s="36" customFormat="1" ht="14.1" customHeight="1" x14ac:dyDescent="0.25">
      <c r="A811" s="32" t="str">
        <f>IF(B811&lt;&gt;"",_xlfn.TEXTJOIN("-",1,COUNTIF($B$2:$B811,B811),B811:E811),"")</f>
        <v/>
      </c>
      <c r="B811" s="32"/>
      <c r="C811" s="32"/>
      <c r="D811" s="32"/>
      <c r="E811" s="32"/>
      <c r="F811" s="32"/>
      <c r="G811" s="32"/>
      <c r="H811" s="32"/>
      <c r="I811" s="32"/>
      <c r="J811" s="32"/>
      <c r="K811" s="32"/>
      <c r="L811" s="32"/>
      <c r="M811" s="32" t="str">
        <f t="shared" si="13"/>
        <v/>
      </c>
      <c r="N811" s="32"/>
    </row>
    <row r="812" spans="1:14" s="36" customFormat="1" ht="14.1" customHeight="1" x14ac:dyDescent="0.25">
      <c r="A812" s="32" t="str">
        <f>IF(B812&lt;&gt;"",_xlfn.TEXTJOIN("-",1,COUNTIF($B$2:$B812,B812),B812:E812),"")</f>
        <v/>
      </c>
      <c r="B812" s="32"/>
      <c r="C812" s="32"/>
      <c r="D812" s="32"/>
      <c r="E812" s="32"/>
      <c r="F812" s="32"/>
      <c r="G812" s="32"/>
      <c r="H812" s="32"/>
      <c r="I812" s="32"/>
      <c r="J812" s="32"/>
      <c r="K812" s="32"/>
      <c r="L812" s="32"/>
      <c r="M812" s="32" t="str">
        <f t="shared" si="13"/>
        <v/>
      </c>
      <c r="N812" s="32"/>
    </row>
    <row r="813" spans="1:14" s="36" customFormat="1" ht="14.1" customHeight="1" x14ac:dyDescent="0.25">
      <c r="A813" s="32" t="str">
        <f>IF(B813&lt;&gt;"",_xlfn.TEXTJOIN("-",1,COUNTIF($B$2:$B813,B813),B813:E813),"")</f>
        <v/>
      </c>
      <c r="B813" s="32"/>
      <c r="C813" s="32"/>
      <c r="D813" s="32"/>
      <c r="E813" s="32"/>
      <c r="F813" s="32"/>
      <c r="G813" s="32"/>
      <c r="H813" s="32"/>
      <c r="I813" s="32"/>
      <c r="J813" s="32"/>
      <c r="K813" s="32"/>
      <c r="L813" s="32"/>
      <c r="M813" s="32" t="str">
        <f t="shared" si="13"/>
        <v/>
      </c>
      <c r="N813" s="32"/>
    </row>
    <row r="814" spans="1:14" s="36" customFormat="1" ht="14.1" customHeight="1" x14ac:dyDescent="0.25">
      <c r="A814" s="32" t="str">
        <f>IF(B814&lt;&gt;"",_xlfn.TEXTJOIN("-",1,COUNTIF($B$2:$B814,B814),B814:E814),"")</f>
        <v/>
      </c>
      <c r="B814" s="32"/>
      <c r="C814" s="32"/>
      <c r="D814" s="32"/>
      <c r="E814" s="32"/>
      <c r="F814" s="32"/>
      <c r="G814" s="32"/>
      <c r="H814" s="32"/>
      <c r="I814" s="32"/>
      <c r="J814" s="32"/>
      <c r="K814" s="32"/>
      <c r="L814" s="32"/>
      <c r="M814" s="32" t="str">
        <f t="shared" si="13"/>
        <v/>
      </c>
      <c r="N814" s="32"/>
    </row>
    <row r="815" spans="1:14" s="36" customFormat="1" ht="14.1" customHeight="1" x14ac:dyDescent="0.25">
      <c r="A815" s="32" t="str">
        <f>IF(B815&lt;&gt;"",_xlfn.TEXTJOIN("-",1,COUNTIF($B$2:$B815,B815),B815:E815),"")</f>
        <v/>
      </c>
      <c r="B815" s="32"/>
      <c r="C815" s="32"/>
      <c r="D815" s="32"/>
      <c r="E815" s="32"/>
      <c r="F815" s="32"/>
      <c r="G815" s="32"/>
      <c r="H815" s="32"/>
      <c r="I815" s="32"/>
      <c r="J815" s="32"/>
      <c r="K815" s="32"/>
      <c r="L815" s="32"/>
      <c r="M815" s="32" t="str">
        <f t="shared" si="13"/>
        <v/>
      </c>
      <c r="N815" s="32"/>
    </row>
    <row r="816" spans="1:14" s="36" customFormat="1" ht="14.1" customHeight="1" x14ac:dyDescent="0.25">
      <c r="A816" s="32" t="str">
        <f>IF(B816&lt;&gt;"",_xlfn.TEXTJOIN("-",1,COUNTIF($B$2:$B816,B816),B816:E816),"")</f>
        <v/>
      </c>
      <c r="B816" s="32"/>
      <c r="C816" s="32"/>
      <c r="D816" s="32"/>
      <c r="E816" s="32"/>
      <c r="F816" s="32"/>
      <c r="G816" s="32"/>
      <c r="H816" s="32"/>
      <c r="I816" s="32"/>
      <c r="J816" s="32"/>
      <c r="K816" s="32"/>
      <c r="L816" s="32"/>
      <c r="M816" s="32" t="str">
        <f t="shared" si="13"/>
        <v/>
      </c>
      <c r="N816" s="32"/>
    </row>
    <row r="817" spans="1:14" s="36" customFormat="1" ht="14.1" customHeight="1" x14ac:dyDescent="0.25">
      <c r="A817" s="32" t="str">
        <f>IF(B817&lt;&gt;"",_xlfn.TEXTJOIN("-",1,COUNTIF($B$2:$B817,B817),B817:E817),"")</f>
        <v/>
      </c>
      <c r="B817" s="32"/>
      <c r="C817" s="32"/>
      <c r="D817" s="32"/>
      <c r="E817" s="32"/>
      <c r="F817" s="32"/>
      <c r="G817" s="32"/>
      <c r="H817" s="32"/>
      <c r="I817" s="32"/>
      <c r="J817" s="32"/>
      <c r="K817" s="32"/>
      <c r="L817" s="32"/>
      <c r="M817" s="32" t="str">
        <f t="shared" si="13"/>
        <v/>
      </c>
      <c r="N817" s="32"/>
    </row>
    <row r="818" spans="1:14" s="36" customFormat="1" ht="14.1" customHeight="1" x14ac:dyDescent="0.25">
      <c r="A818" s="32" t="str">
        <f>IF(B818&lt;&gt;"",_xlfn.TEXTJOIN("-",1,COUNTIF($B$2:$B818,B818),B818:E818),"")</f>
        <v/>
      </c>
      <c r="B818" s="32"/>
      <c r="C818" s="32"/>
      <c r="D818" s="32"/>
      <c r="E818" s="32"/>
      <c r="F818" s="32"/>
      <c r="G818" s="32"/>
      <c r="H818" s="32"/>
      <c r="I818" s="32"/>
      <c r="J818" s="32"/>
      <c r="K818" s="32"/>
      <c r="L818" s="32"/>
      <c r="M818" s="32" t="str">
        <f t="shared" si="13"/>
        <v/>
      </c>
      <c r="N818" s="32"/>
    </row>
    <row r="819" spans="1:14" s="36" customFormat="1" ht="14.1" customHeight="1" x14ac:dyDescent="0.25">
      <c r="A819" s="32" t="str">
        <f>IF(B819&lt;&gt;"",_xlfn.TEXTJOIN("-",1,COUNTIF($B$2:$B819,B819),B819:E819),"")</f>
        <v/>
      </c>
      <c r="B819" s="32"/>
      <c r="C819" s="32"/>
      <c r="D819" s="32"/>
      <c r="E819" s="32"/>
      <c r="F819" s="32"/>
      <c r="G819" s="32"/>
      <c r="H819" s="32"/>
      <c r="I819" s="32"/>
      <c r="J819" s="32"/>
      <c r="K819" s="32"/>
      <c r="L819" s="32"/>
      <c r="M819" s="32" t="str">
        <f t="shared" si="13"/>
        <v/>
      </c>
      <c r="N819" s="32"/>
    </row>
    <row r="820" spans="1:14" s="36" customFormat="1" ht="14.1" customHeight="1" x14ac:dyDescent="0.25">
      <c r="A820" s="32" t="str">
        <f>IF(B820&lt;&gt;"",_xlfn.TEXTJOIN("-",1,COUNTIF($B$2:$B820,B820),B820:E820),"")</f>
        <v/>
      </c>
      <c r="B820" s="32"/>
      <c r="C820" s="32"/>
      <c r="D820" s="32"/>
      <c r="E820" s="32"/>
      <c r="F820" s="32"/>
      <c r="G820" s="32"/>
      <c r="H820" s="32"/>
      <c r="I820" s="32"/>
      <c r="J820" s="32"/>
      <c r="K820" s="32"/>
      <c r="L820" s="32"/>
      <c r="M820" s="32" t="str">
        <f t="shared" si="13"/>
        <v/>
      </c>
      <c r="N820" s="32"/>
    </row>
    <row r="821" spans="1:14" s="36" customFormat="1" ht="14.1" customHeight="1" x14ac:dyDescent="0.25">
      <c r="A821" s="32" t="str">
        <f>IF(B821&lt;&gt;"",_xlfn.TEXTJOIN("-",1,COUNTIF($B$2:$B821,B821),B821:E821),"")</f>
        <v/>
      </c>
      <c r="B821" s="32"/>
      <c r="C821" s="32"/>
      <c r="D821" s="32"/>
      <c r="E821" s="32"/>
      <c r="F821" s="32"/>
      <c r="G821" s="32"/>
      <c r="H821" s="32"/>
      <c r="I821" s="32"/>
      <c r="J821" s="32"/>
      <c r="K821" s="32"/>
      <c r="L821" s="32"/>
      <c r="M821" s="32" t="str">
        <f t="shared" si="13"/>
        <v/>
      </c>
      <c r="N821" s="32"/>
    </row>
    <row r="822" spans="1:14" s="36" customFormat="1" ht="14.1" customHeight="1" x14ac:dyDescent="0.25">
      <c r="A822" s="32" t="str">
        <f>IF(B822&lt;&gt;"",_xlfn.TEXTJOIN("-",1,COUNTIF($B$2:$B822,B822),B822:E822),"")</f>
        <v/>
      </c>
      <c r="B822" s="32"/>
      <c r="C822" s="32"/>
      <c r="D822" s="32"/>
      <c r="E822" s="32"/>
      <c r="F822" s="32"/>
      <c r="G822" s="32"/>
      <c r="H822" s="32"/>
      <c r="I822" s="32"/>
      <c r="J822" s="32"/>
      <c r="K822" s="32"/>
      <c r="L822" s="32"/>
      <c r="M822" s="32" t="str">
        <f t="shared" si="13"/>
        <v/>
      </c>
      <c r="N822" s="32"/>
    </row>
    <row r="823" spans="1:14" s="36" customFormat="1" ht="14.1" customHeight="1" x14ac:dyDescent="0.25">
      <c r="A823" s="32" t="str">
        <f>IF(B823&lt;&gt;"",_xlfn.TEXTJOIN("-",1,COUNTIF($B$2:$B823,B823),B823:E823),"")</f>
        <v/>
      </c>
      <c r="B823" s="32"/>
      <c r="C823" s="32"/>
      <c r="D823" s="32"/>
      <c r="E823" s="32"/>
      <c r="F823" s="32"/>
      <c r="G823" s="32"/>
      <c r="H823" s="32"/>
      <c r="I823" s="32"/>
      <c r="J823" s="32"/>
      <c r="K823" s="32"/>
      <c r="L823" s="32"/>
      <c r="M823" s="32" t="str">
        <f t="shared" si="13"/>
        <v/>
      </c>
      <c r="N823" s="32"/>
    </row>
    <row r="824" spans="1:14" s="36" customFormat="1" ht="14.1" customHeight="1" x14ac:dyDescent="0.25">
      <c r="A824" s="32" t="str">
        <f>IF(B824&lt;&gt;"",_xlfn.TEXTJOIN("-",1,COUNTIF($B$2:$B824,B824),B824:E824),"")</f>
        <v/>
      </c>
      <c r="B824" s="32"/>
      <c r="C824" s="32"/>
      <c r="D824" s="32"/>
      <c r="E824" s="32"/>
      <c r="F824" s="32"/>
      <c r="G824" s="32"/>
      <c r="H824" s="32"/>
      <c r="I824" s="32"/>
      <c r="J824" s="32"/>
      <c r="K824" s="32"/>
      <c r="L824" s="32"/>
      <c r="M824" s="32" t="str">
        <f t="shared" si="13"/>
        <v/>
      </c>
      <c r="N824" s="32"/>
    </row>
    <row r="825" spans="1:14" s="36" customFormat="1" ht="14.1" customHeight="1" x14ac:dyDescent="0.25">
      <c r="A825" s="32" t="str">
        <f>IF(B825&lt;&gt;"",_xlfn.TEXTJOIN("-",1,COUNTIF($B$2:$B825,B825),B825:E825),"")</f>
        <v/>
      </c>
      <c r="B825" s="32"/>
      <c r="C825" s="32"/>
      <c r="D825" s="32"/>
      <c r="E825" s="32"/>
      <c r="F825" s="32"/>
      <c r="G825" s="32"/>
      <c r="H825" s="32"/>
      <c r="I825" s="32"/>
      <c r="J825" s="32"/>
      <c r="K825" s="32"/>
      <c r="L825" s="32"/>
      <c r="M825" s="32" t="str">
        <f t="shared" si="13"/>
        <v/>
      </c>
      <c r="N825" s="32"/>
    </row>
    <row r="826" spans="1:14" s="36" customFormat="1" ht="14.1" customHeight="1" x14ac:dyDescent="0.25">
      <c r="A826" s="32" t="str">
        <f>IF(B826&lt;&gt;"",_xlfn.TEXTJOIN("-",1,COUNTIF($B$2:$B826,B826),B826:E826),"")</f>
        <v/>
      </c>
      <c r="B826" s="32"/>
      <c r="C826" s="32"/>
      <c r="D826" s="32"/>
      <c r="E826" s="32"/>
      <c r="F826" s="32"/>
      <c r="G826" s="32"/>
      <c r="H826" s="32"/>
      <c r="I826" s="32"/>
      <c r="J826" s="32"/>
      <c r="K826" s="32"/>
      <c r="L826" s="32"/>
      <c r="M826" s="32" t="str">
        <f t="shared" si="13"/>
        <v/>
      </c>
      <c r="N826" s="32"/>
    </row>
    <row r="827" spans="1:14" s="36" customFormat="1" ht="14.1" customHeight="1" x14ac:dyDescent="0.25">
      <c r="A827" s="32" t="str">
        <f>IF(B827&lt;&gt;"",_xlfn.TEXTJOIN("-",1,COUNTIF($B$2:$B827,B827),B827:E827),"")</f>
        <v/>
      </c>
      <c r="B827" s="32"/>
      <c r="C827" s="32"/>
      <c r="D827" s="32"/>
      <c r="E827" s="32"/>
      <c r="F827" s="32"/>
      <c r="G827" s="32"/>
      <c r="H827" s="32"/>
      <c r="I827" s="32"/>
      <c r="J827" s="32"/>
      <c r="K827" s="32"/>
      <c r="L827" s="32"/>
      <c r="M827" s="32" t="str">
        <f t="shared" si="13"/>
        <v/>
      </c>
      <c r="N827" s="32"/>
    </row>
    <row r="828" spans="1:14" s="36" customFormat="1" ht="14.1" customHeight="1" x14ac:dyDescent="0.25">
      <c r="A828" s="32" t="str">
        <f>IF(B828&lt;&gt;"",_xlfn.TEXTJOIN("-",1,COUNTIF($B$2:$B828,B828),B828:E828),"")</f>
        <v/>
      </c>
      <c r="B828" s="32"/>
      <c r="C828" s="32"/>
      <c r="D828" s="32"/>
      <c r="E828" s="32"/>
      <c r="F828" s="32"/>
      <c r="G828" s="32"/>
      <c r="H828" s="32"/>
      <c r="I828" s="32"/>
      <c r="J828" s="32"/>
      <c r="K828" s="32"/>
      <c r="L828" s="32"/>
      <c r="M828" s="32" t="str">
        <f t="shared" si="13"/>
        <v/>
      </c>
      <c r="N828" s="32"/>
    </row>
    <row r="829" spans="1:14" s="36" customFormat="1" ht="14.1" customHeight="1" x14ac:dyDescent="0.25">
      <c r="A829" s="32" t="str">
        <f>IF(B829&lt;&gt;"",_xlfn.TEXTJOIN("-",1,COUNTIF($B$2:$B829,B829),B829:E829),"")</f>
        <v/>
      </c>
      <c r="B829" s="32"/>
      <c r="C829" s="32"/>
      <c r="D829" s="32"/>
      <c r="E829" s="32"/>
      <c r="F829" s="32"/>
      <c r="G829" s="32"/>
      <c r="H829" s="32"/>
      <c r="I829" s="32"/>
      <c r="J829" s="32"/>
      <c r="K829" s="32"/>
      <c r="L829" s="32"/>
      <c r="M829" s="32" t="str">
        <f t="shared" si="13"/>
        <v/>
      </c>
      <c r="N829" s="32"/>
    </row>
    <row r="830" spans="1:14" s="36" customFormat="1" ht="14.1" customHeight="1" x14ac:dyDescent="0.25">
      <c r="A830" s="32" t="str">
        <f>IF(B830&lt;&gt;"",_xlfn.TEXTJOIN("-",1,COUNTIF($B$2:$B830,B830),B830:E830),"")</f>
        <v/>
      </c>
      <c r="B830" s="32"/>
      <c r="C830" s="32"/>
      <c r="D830" s="32"/>
      <c r="E830" s="32"/>
      <c r="F830" s="32"/>
      <c r="G830" s="32"/>
      <c r="H830" s="32"/>
      <c r="I830" s="32"/>
      <c r="J830" s="32"/>
      <c r="K830" s="32"/>
      <c r="L830" s="32"/>
      <c r="M830" s="32" t="str">
        <f t="shared" si="13"/>
        <v/>
      </c>
      <c r="N830" s="32"/>
    </row>
    <row r="831" spans="1:14" s="36" customFormat="1" ht="14.1" customHeight="1" x14ac:dyDescent="0.25">
      <c r="A831" s="32" t="str">
        <f>IF(B831&lt;&gt;"",_xlfn.TEXTJOIN("-",1,COUNTIF($B$2:$B831,B831),B831:E831),"")</f>
        <v/>
      </c>
      <c r="B831" s="32"/>
      <c r="C831" s="32"/>
      <c r="D831" s="32"/>
      <c r="E831" s="32"/>
      <c r="F831" s="32"/>
      <c r="G831" s="32"/>
      <c r="H831" s="32"/>
      <c r="I831" s="32"/>
      <c r="J831" s="32"/>
      <c r="K831" s="32"/>
      <c r="L831" s="32"/>
      <c r="M831" s="32" t="str">
        <f t="shared" si="13"/>
        <v/>
      </c>
      <c r="N831" s="32"/>
    </row>
    <row r="832" spans="1:14" s="36" customFormat="1" ht="14.1" customHeight="1" x14ac:dyDescent="0.25">
      <c r="A832" s="32" t="str">
        <f>IF(B832&lt;&gt;"",_xlfn.TEXTJOIN("-",1,COUNTIF($B$2:$B832,B832),B832:E832),"")</f>
        <v/>
      </c>
      <c r="B832" s="32"/>
      <c r="C832" s="32"/>
      <c r="D832" s="32"/>
      <c r="E832" s="32"/>
      <c r="F832" s="32"/>
      <c r="G832" s="32"/>
      <c r="H832" s="32"/>
      <c r="I832" s="32"/>
      <c r="J832" s="32"/>
      <c r="K832" s="32"/>
      <c r="L832" s="32"/>
      <c r="M832" s="32" t="str">
        <f t="shared" si="13"/>
        <v/>
      </c>
      <c r="N832" s="32"/>
    </row>
    <row r="833" spans="1:14" s="36" customFormat="1" ht="14.1" customHeight="1" x14ac:dyDescent="0.25">
      <c r="A833" s="32" t="str">
        <f>IF(B833&lt;&gt;"",_xlfn.TEXTJOIN("-",1,COUNTIF($B$2:$B833,B833),B833:E833),"")</f>
        <v/>
      </c>
      <c r="B833" s="32"/>
      <c r="C833" s="32"/>
      <c r="D833" s="32"/>
      <c r="E833" s="32"/>
      <c r="F833" s="32"/>
      <c r="G833" s="32"/>
      <c r="H833" s="32"/>
      <c r="I833" s="32"/>
      <c r="J833" s="32"/>
      <c r="K833" s="32"/>
      <c r="L833" s="32"/>
      <c r="M833" s="32" t="str">
        <f t="shared" si="13"/>
        <v/>
      </c>
      <c r="N833" s="32"/>
    </row>
    <row r="834" spans="1:14" s="36" customFormat="1" ht="14.1" customHeight="1" x14ac:dyDescent="0.25">
      <c r="A834" s="32" t="str">
        <f>IF(B834&lt;&gt;"",_xlfn.TEXTJOIN("-",1,COUNTIF($B$2:$B834,B834),B834:E834),"")</f>
        <v/>
      </c>
      <c r="B834" s="32"/>
      <c r="C834" s="32"/>
      <c r="D834" s="32"/>
      <c r="E834" s="32"/>
      <c r="F834" s="32"/>
      <c r="G834" s="32"/>
      <c r="H834" s="32"/>
      <c r="I834" s="32"/>
      <c r="J834" s="32"/>
      <c r="K834" s="32"/>
      <c r="L834" s="32"/>
      <c r="M834" s="32" t="str">
        <f t="shared" si="13"/>
        <v/>
      </c>
      <c r="N834" s="32"/>
    </row>
    <row r="835" spans="1:14" s="36" customFormat="1" ht="14.1" customHeight="1" x14ac:dyDescent="0.25">
      <c r="A835" s="32" t="str">
        <f>IF(B835&lt;&gt;"",_xlfn.TEXTJOIN("-",1,COUNTIF($B$2:$B835,B835),B835:E835),"")</f>
        <v/>
      </c>
      <c r="B835" s="32"/>
      <c r="C835" s="32"/>
      <c r="D835" s="32"/>
      <c r="E835" s="32"/>
      <c r="F835" s="32"/>
      <c r="G835" s="32"/>
      <c r="H835" s="32"/>
      <c r="I835" s="32"/>
      <c r="J835" s="32"/>
      <c r="K835" s="32"/>
      <c r="L835" s="32"/>
      <c r="M835" s="32" t="str">
        <f t="shared" ref="M835:M898" si="14">IF(B835="FN",_xlfn.CONCAT("egor.v.ivanov+",LEFT(C835,1),"_",LEFT(D835,2),"_",E835,"@outlook.com"),"")</f>
        <v/>
      </c>
      <c r="N835" s="32"/>
    </row>
    <row r="836" spans="1:14" s="36" customFormat="1" ht="14.1" customHeight="1" x14ac:dyDescent="0.25">
      <c r="A836" s="32" t="str">
        <f>IF(B836&lt;&gt;"",_xlfn.TEXTJOIN("-",1,COUNTIF($B$2:$B836,B836),B836:E836),"")</f>
        <v/>
      </c>
      <c r="B836" s="32"/>
      <c r="C836" s="32"/>
      <c r="D836" s="32"/>
      <c r="E836" s="32"/>
      <c r="F836" s="32"/>
      <c r="G836" s="32"/>
      <c r="H836" s="32"/>
      <c r="I836" s="32"/>
      <c r="J836" s="32"/>
      <c r="K836" s="32"/>
      <c r="L836" s="32"/>
      <c r="M836" s="32" t="str">
        <f t="shared" si="14"/>
        <v/>
      </c>
      <c r="N836" s="32"/>
    </row>
    <row r="837" spans="1:14" s="36" customFormat="1" ht="14.1" customHeight="1" x14ac:dyDescent="0.25">
      <c r="A837" s="32" t="str">
        <f>IF(B837&lt;&gt;"",_xlfn.TEXTJOIN("-",1,COUNTIF($B$2:$B837,B837),B837:E837),"")</f>
        <v/>
      </c>
      <c r="B837" s="32"/>
      <c r="C837" s="32"/>
      <c r="D837" s="32"/>
      <c r="E837" s="32"/>
      <c r="F837" s="32"/>
      <c r="G837" s="32"/>
      <c r="H837" s="32"/>
      <c r="I837" s="32"/>
      <c r="J837" s="32"/>
      <c r="K837" s="32"/>
      <c r="L837" s="32"/>
      <c r="M837" s="32" t="str">
        <f t="shared" si="14"/>
        <v/>
      </c>
      <c r="N837" s="32"/>
    </row>
    <row r="838" spans="1:14" s="36" customFormat="1" ht="14.1" customHeight="1" x14ac:dyDescent="0.25">
      <c r="A838" s="32" t="str">
        <f>IF(B838&lt;&gt;"",_xlfn.TEXTJOIN("-",1,COUNTIF($B$2:$B838,B838),B838:E838),"")</f>
        <v/>
      </c>
      <c r="B838" s="32"/>
      <c r="C838" s="32"/>
      <c r="D838" s="32"/>
      <c r="E838" s="32"/>
      <c r="F838" s="32"/>
      <c r="G838" s="32"/>
      <c r="H838" s="32"/>
      <c r="I838" s="32"/>
      <c r="J838" s="32"/>
      <c r="K838" s="32"/>
      <c r="L838" s="32"/>
      <c r="M838" s="32" t="str">
        <f t="shared" si="14"/>
        <v/>
      </c>
      <c r="N838" s="32"/>
    </row>
    <row r="839" spans="1:14" s="36" customFormat="1" ht="14.1" customHeight="1" x14ac:dyDescent="0.25">
      <c r="A839" s="32" t="str">
        <f>IF(B839&lt;&gt;"",_xlfn.TEXTJOIN("-",1,COUNTIF($B$2:$B839,B839),B839:E839),"")</f>
        <v/>
      </c>
      <c r="B839" s="32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 t="str">
        <f t="shared" si="14"/>
        <v/>
      </c>
      <c r="N839" s="32"/>
    </row>
    <row r="840" spans="1:14" s="36" customFormat="1" ht="14.1" customHeight="1" x14ac:dyDescent="0.25">
      <c r="A840" s="32" t="str">
        <f>IF(B840&lt;&gt;"",_xlfn.TEXTJOIN("-",1,COUNTIF($B$2:$B840,B840),B840:E840),"")</f>
        <v/>
      </c>
      <c r="B840" s="32"/>
      <c r="C840" s="32"/>
      <c r="D840" s="32"/>
      <c r="E840" s="32"/>
      <c r="F840" s="32"/>
      <c r="G840" s="32"/>
      <c r="H840" s="32"/>
      <c r="I840" s="32"/>
      <c r="J840" s="32"/>
      <c r="K840" s="32"/>
      <c r="L840" s="32"/>
      <c r="M840" s="32" t="str">
        <f t="shared" si="14"/>
        <v/>
      </c>
      <c r="N840" s="32"/>
    </row>
    <row r="841" spans="1:14" s="36" customFormat="1" ht="14.1" customHeight="1" x14ac:dyDescent="0.25">
      <c r="A841" s="32" t="str">
        <f>IF(B841&lt;&gt;"",_xlfn.TEXTJOIN("-",1,COUNTIF($B$2:$B841,B841),B841:E841),"")</f>
        <v/>
      </c>
      <c r="B841" s="32"/>
      <c r="C841" s="32"/>
      <c r="D841" s="32"/>
      <c r="E841" s="32"/>
      <c r="F841" s="32"/>
      <c r="G841" s="32"/>
      <c r="H841" s="32"/>
      <c r="I841" s="32"/>
      <c r="J841" s="32"/>
      <c r="K841" s="32"/>
      <c r="L841" s="32"/>
      <c r="M841" s="32" t="str">
        <f t="shared" si="14"/>
        <v/>
      </c>
      <c r="N841" s="32"/>
    </row>
    <row r="842" spans="1:14" s="36" customFormat="1" ht="14.1" customHeight="1" x14ac:dyDescent="0.25">
      <c r="A842" s="32" t="str">
        <f>IF(B842&lt;&gt;"",_xlfn.TEXTJOIN("-",1,COUNTIF($B$2:$B842,B842),B842:E842),"")</f>
        <v/>
      </c>
      <c r="B842" s="32"/>
      <c r="C842" s="32"/>
      <c r="D842" s="32"/>
      <c r="E842" s="32"/>
      <c r="F842" s="32"/>
      <c r="G842" s="32"/>
      <c r="H842" s="32"/>
      <c r="I842" s="32"/>
      <c r="J842" s="32"/>
      <c r="K842" s="32"/>
      <c r="L842" s="32"/>
      <c r="M842" s="32" t="str">
        <f t="shared" si="14"/>
        <v/>
      </c>
      <c r="N842" s="32"/>
    </row>
    <row r="843" spans="1:14" s="36" customFormat="1" ht="14.1" customHeight="1" x14ac:dyDescent="0.25">
      <c r="A843" s="32" t="str">
        <f>IF(B843&lt;&gt;"",_xlfn.TEXTJOIN("-",1,COUNTIF($B$2:$B843,B843),B843:E843),"")</f>
        <v/>
      </c>
      <c r="B843" s="32"/>
      <c r="C843" s="32"/>
      <c r="D843" s="32"/>
      <c r="E843" s="32"/>
      <c r="F843" s="32"/>
      <c r="G843" s="32"/>
      <c r="H843" s="32"/>
      <c r="I843" s="32"/>
      <c r="J843" s="32"/>
      <c r="K843" s="32"/>
      <c r="L843" s="32"/>
      <c r="M843" s="32" t="str">
        <f t="shared" si="14"/>
        <v/>
      </c>
      <c r="N843" s="32"/>
    </row>
    <row r="844" spans="1:14" s="36" customFormat="1" ht="14.1" customHeight="1" x14ac:dyDescent="0.25">
      <c r="A844" s="32" t="str">
        <f>IF(B844&lt;&gt;"",_xlfn.TEXTJOIN("-",1,COUNTIF($B$2:$B844,B844),B844:E844),"")</f>
        <v/>
      </c>
      <c r="B844" s="32"/>
      <c r="C844" s="32"/>
      <c r="D844" s="32"/>
      <c r="E844" s="32"/>
      <c r="F844" s="32"/>
      <c r="G844" s="32"/>
      <c r="H844" s="32"/>
      <c r="I844" s="32"/>
      <c r="J844" s="32"/>
      <c r="K844" s="32"/>
      <c r="L844" s="32"/>
      <c r="M844" s="32" t="str">
        <f t="shared" si="14"/>
        <v/>
      </c>
      <c r="N844" s="32"/>
    </row>
    <row r="845" spans="1:14" s="36" customFormat="1" ht="14.1" customHeight="1" x14ac:dyDescent="0.25">
      <c r="A845" s="32" t="str">
        <f>IF(B845&lt;&gt;"",_xlfn.TEXTJOIN("-",1,COUNTIF($B$2:$B845,B845),B845:E845),"")</f>
        <v/>
      </c>
      <c r="B845" s="32"/>
      <c r="C845" s="32"/>
      <c r="D845" s="32"/>
      <c r="E845" s="32"/>
      <c r="F845" s="32"/>
      <c r="G845" s="32"/>
      <c r="H845" s="32"/>
      <c r="I845" s="32"/>
      <c r="J845" s="32"/>
      <c r="K845" s="32"/>
      <c r="L845" s="32"/>
      <c r="M845" s="32" t="str">
        <f t="shared" si="14"/>
        <v/>
      </c>
      <c r="N845" s="32"/>
    </row>
    <row r="846" spans="1:14" s="36" customFormat="1" ht="14.1" customHeight="1" x14ac:dyDescent="0.25">
      <c r="A846" s="32" t="str">
        <f>IF(B846&lt;&gt;"",_xlfn.TEXTJOIN("-",1,COUNTIF($B$2:$B846,B846),B846:E846),"")</f>
        <v/>
      </c>
      <c r="B846" s="32"/>
      <c r="C846" s="32"/>
      <c r="D846" s="32"/>
      <c r="E846" s="32"/>
      <c r="F846" s="32"/>
      <c r="G846" s="32"/>
      <c r="H846" s="32"/>
      <c r="I846" s="32"/>
      <c r="J846" s="32"/>
      <c r="K846" s="32"/>
      <c r="L846" s="32"/>
      <c r="M846" s="32" t="str">
        <f t="shared" si="14"/>
        <v/>
      </c>
      <c r="N846" s="32"/>
    </row>
    <row r="847" spans="1:14" s="36" customFormat="1" ht="14.1" customHeight="1" x14ac:dyDescent="0.25">
      <c r="A847" s="32" t="str">
        <f>IF(B847&lt;&gt;"",_xlfn.TEXTJOIN("-",1,COUNTIF($B$2:$B847,B847),B847:E847),"")</f>
        <v/>
      </c>
      <c r="B847" s="32"/>
      <c r="C847" s="32"/>
      <c r="D847" s="32"/>
      <c r="E847" s="32"/>
      <c r="F847" s="32"/>
      <c r="G847" s="32"/>
      <c r="H847" s="32"/>
      <c r="I847" s="32"/>
      <c r="J847" s="32"/>
      <c r="K847" s="32"/>
      <c r="L847" s="32"/>
      <c r="M847" s="32" t="str">
        <f t="shared" si="14"/>
        <v/>
      </c>
      <c r="N847" s="32"/>
    </row>
    <row r="848" spans="1:14" s="36" customFormat="1" ht="14.1" customHeight="1" x14ac:dyDescent="0.25">
      <c r="A848" s="32" t="str">
        <f>IF(B848&lt;&gt;"",_xlfn.TEXTJOIN("-",1,COUNTIF($B$2:$B848,B848),B848:E848),"")</f>
        <v/>
      </c>
      <c r="B848" s="32"/>
      <c r="C848" s="32"/>
      <c r="D848" s="32"/>
      <c r="E848" s="32"/>
      <c r="F848" s="32"/>
      <c r="G848" s="32"/>
      <c r="H848" s="32"/>
      <c r="I848" s="32"/>
      <c r="J848" s="32"/>
      <c r="K848" s="32"/>
      <c r="L848" s="32"/>
      <c r="M848" s="32" t="str">
        <f t="shared" si="14"/>
        <v/>
      </c>
      <c r="N848" s="32"/>
    </row>
    <row r="849" spans="1:14" s="36" customFormat="1" ht="14.1" customHeight="1" x14ac:dyDescent="0.25">
      <c r="A849" s="32" t="str">
        <f>IF(B849&lt;&gt;"",_xlfn.TEXTJOIN("-",1,COUNTIF($B$2:$B849,B849),B849:E849),"")</f>
        <v/>
      </c>
      <c r="B849" s="32"/>
      <c r="C849" s="32"/>
      <c r="D849" s="32"/>
      <c r="E849" s="32"/>
      <c r="F849" s="32"/>
      <c r="G849" s="32"/>
      <c r="H849" s="32"/>
      <c r="I849" s="32"/>
      <c r="J849" s="32"/>
      <c r="K849" s="32"/>
      <c r="L849" s="32"/>
      <c r="M849" s="32" t="str">
        <f t="shared" si="14"/>
        <v/>
      </c>
      <c r="N849" s="32"/>
    </row>
    <row r="850" spans="1:14" s="36" customFormat="1" ht="14.1" customHeight="1" x14ac:dyDescent="0.25">
      <c r="A850" s="32" t="str">
        <f>IF(B850&lt;&gt;"",_xlfn.TEXTJOIN("-",1,COUNTIF($B$2:$B850,B850),B850:E850),"")</f>
        <v/>
      </c>
      <c r="B850" s="32"/>
      <c r="C850" s="32"/>
      <c r="D850" s="32"/>
      <c r="E850" s="32"/>
      <c r="F850" s="32"/>
      <c r="G850" s="32"/>
      <c r="H850" s="32"/>
      <c r="I850" s="32"/>
      <c r="J850" s="32"/>
      <c r="K850" s="32"/>
      <c r="L850" s="32"/>
      <c r="M850" s="32" t="str">
        <f t="shared" si="14"/>
        <v/>
      </c>
      <c r="N850" s="32"/>
    </row>
    <row r="851" spans="1:14" s="36" customFormat="1" ht="14.1" customHeight="1" x14ac:dyDescent="0.25">
      <c r="A851" s="32" t="str">
        <f>IF(B851&lt;&gt;"",_xlfn.TEXTJOIN("-",1,COUNTIF($B$2:$B851,B851),B851:E851),"")</f>
        <v/>
      </c>
      <c r="B851" s="32"/>
      <c r="C851" s="32"/>
      <c r="D851" s="32"/>
      <c r="E851" s="32"/>
      <c r="F851" s="32"/>
      <c r="G851" s="32"/>
      <c r="H851" s="32"/>
      <c r="I851" s="32"/>
      <c r="J851" s="32"/>
      <c r="K851" s="32"/>
      <c r="L851" s="32"/>
      <c r="M851" s="32" t="str">
        <f t="shared" si="14"/>
        <v/>
      </c>
      <c r="N851" s="32"/>
    </row>
    <row r="852" spans="1:14" s="36" customFormat="1" ht="14.1" customHeight="1" x14ac:dyDescent="0.25">
      <c r="A852" s="32" t="str">
        <f>IF(B852&lt;&gt;"",_xlfn.TEXTJOIN("-",1,COUNTIF($B$2:$B852,B852),B852:E852),"")</f>
        <v/>
      </c>
      <c r="B852" s="32"/>
      <c r="C852" s="32"/>
      <c r="D852" s="32"/>
      <c r="E852" s="32"/>
      <c r="F852" s="32"/>
      <c r="G852" s="32"/>
      <c r="H852" s="32"/>
      <c r="I852" s="32"/>
      <c r="J852" s="32"/>
      <c r="K852" s="32"/>
      <c r="L852" s="32"/>
      <c r="M852" s="32" t="str">
        <f t="shared" si="14"/>
        <v/>
      </c>
      <c r="N852" s="32"/>
    </row>
    <row r="853" spans="1:14" s="36" customFormat="1" ht="14.1" customHeight="1" x14ac:dyDescent="0.25">
      <c r="A853" s="32" t="str">
        <f>IF(B853&lt;&gt;"",_xlfn.TEXTJOIN("-",1,COUNTIF($B$2:$B853,B853),B853:E853),"")</f>
        <v/>
      </c>
      <c r="B853" s="32"/>
      <c r="C853" s="32"/>
      <c r="D853" s="32"/>
      <c r="E853" s="32"/>
      <c r="F853" s="32"/>
      <c r="G853" s="32"/>
      <c r="H853" s="32"/>
      <c r="I853" s="32"/>
      <c r="J853" s="32"/>
      <c r="K853" s="32"/>
      <c r="L853" s="32"/>
      <c r="M853" s="32" t="str">
        <f t="shared" si="14"/>
        <v/>
      </c>
      <c r="N853" s="32"/>
    </row>
    <row r="854" spans="1:14" s="36" customFormat="1" ht="14.1" customHeight="1" x14ac:dyDescent="0.25">
      <c r="A854" s="32" t="str">
        <f>IF(B854&lt;&gt;"",_xlfn.TEXTJOIN("-",1,COUNTIF($B$2:$B854,B854),B854:E854),"")</f>
        <v/>
      </c>
      <c r="B854" s="32"/>
      <c r="C854" s="32"/>
      <c r="D854" s="32"/>
      <c r="E854" s="32"/>
      <c r="F854" s="32"/>
      <c r="G854" s="32"/>
      <c r="H854" s="32"/>
      <c r="I854" s="32"/>
      <c r="J854" s="32"/>
      <c r="K854" s="32"/>
      <c r="L854" s="32"/>
      <c r="M854" s="32" t="str">
        <f t="shared" si="14"/>
        <v/>
      </c>
      <c r="N854" s="32"/>
    </row>
    <row r="855" spans="1:14" s="36" customFormat="1" ht="14.1" customHeight="1" x14ac:dyDescent="0.25">
      <c r="A855" s="32" t="str">
        <f>IF(B855&lt;&gt;"",_xlfn.TEXTJOIN("-",1,COUNTIF($B$2:$B855,B855),B855:E855),"")</f>
        <v/>
      </c>
      <c r="B855" s="32"/>
      <c r="C855" s="32"/>
      <c r="D855" s="32"/>
      <c r="E855" s="32"/>
      <c r="F855" s="32"/>
      <c r="G855" s="32"/>
      <c r="H855" s="32"/>
      <c r="I855" s="32"/>
      <c r="J855" s="32"/>
      <c r="K855" s="32"/>
      <c r="L855" s="32"/>
      <c r="M855" s="32" t="str">
        <f t="shared" si="14"/>
        <v/>
      </c>
      <c r="N855" s="32"/>
    </row>
    <row r="856" spans="1:14" s="36" customFormat="1" ht="14.1" customHeight="1" x14ac:dyDescent="0.25">
      <c r="A856" s="32" t="str">
        <f>IF(B856&lt;&gt;"",_xlfn.TEXTJOIN("-",1,COUNTIF($B$2:$B856,B856),B856:E856),"")</f>
        <v/>
      </c>
      <c r="B856" s="32"/>
      <c r="C856" s="32"/>
      <c r="D856" s="32"/>
      <c r="E856" s="32"/>
      <c r="F856" s="32"/>
      <c r="G856" s="32"/>
      <c r="H856" s="32"/>
      <c r="I856" s="32"/>
      <c r="J856" s="32"/>
      <c r="K856" s="32"/>
      <c r="L856" s="32"/>
      <c r="M856" s="32" t="str">
        <f t="shared" si="14"/>
        <v/>
      </c>
      <c r="N856" s="32"/>
    </row>
    <row r="857" spans="1:14" s="36" customFormat="1" ht="14.1" customHeight="1" x14ac:dyDescent="0.25">
      <c r="A857" s="32" t="str">
        <f>IF(B857&lt;&gt;"",_xlfn.TEXTJOIN("-",1,COUNTIF($B$2:$B857,B857),B857:E857),"")</f>
        <v/>
      </c>
      <c r="B857" s="32"/>
      <c r="C857" s="32"/>
      <c r="D857" s="32"/>
      <c r="E857" s="32"/>
      <c r="F857" s="32"/>
      <c r="G857" s="32"/>
      <c r="H857" s="32"/>
      <c r="I857" s="32"/>
      <c r="J857" s="32"/>
      <c r="K857" s="32"/>
      <c r="L857" s="32"/>
      <c r="M857" s="32" t="str">
        <f t="shared" si="14"/>
        <v/>
      </c>
      <c r="N857" s="32"/>
    </row>
    <row r="858" spans="1:14" s="36" customFormat="1" ht="14.1" customHeight="1" x14ac:dyDescent="0.25">
      <c r="A858" s="32" t="str">
        <f>IF(B858&lt;&gt;"",_xlfn.TEXTJOIN("-",1,COUNTIF($B$2:$B858,B858),B858:E858),"")</f>
        <v/>
      </c>
      <c r="B858" s="32"/>
      <c r="C858" s="32"/>
      <c r="D858" s="32"/>
      <c r="E858" s="32"/>
      <c r="F858" s="32"/>
      <c r="G858" s="32"/>
      <c r="H858" s="32"/>
      <c r="I858" s="32"/>
      <c r="J858" s="32"/>
      <c r="K858" s="32"/>
      <c r="L858" s="32"/>
      <c r="M858" s="32" t="str">
        <f t="shared" si="14"/>
        <v/>
      </c>
      <c r="N858" s="32"/>
    </row>
    <row r="859" spans="1:14" s="36" customFormat="1" ht="14.1" customHeight="1" x14ac:dyDescent="0.25">
      <c r="A859" s="32" t="str">
        <f>IF(B859&lt;&gt;"",_xlfn.TEXTJOIN("-",1,COUNTIF($B$2:$B859,B859),B859:E859),"")</f>
        <v/>
      </c>
      <c r="B859" s="32"/>
      <c r="C859" s="32"/>
      <c r="D859" s="32"/>
      <c r="E859" s="32"/>
      <c r="F859" s="32"/>
      <c r="G859" s="32"/>
      <c r="H859" s="32"/>
      <c r="I859" s="32"/>
      <c r="J859" s="32"/>
      <c r="K859" s="32"/>
      <c r="L859" s="32"/>
      <c r="M859" s="32" t="str">
        <f t="shared" si="14"/>
        <v/>
      </c>
      <c r="N859" s="32"/>
    </row>
    <row r="860" spans="1:14" s="36" customFormat="1" ht="14.1" customHeight="1" x14ac:dyDescent="0.25">
      <c r="A860" s="32" t="str">
        <f>IF(B860&lt;&gt;"",_xlfn.TEXTJOIN("-",1,COUNTIF($B$2:$B860,B860),B860:E860),"")</f>
        <v/>
      </c>
      <c r="B860" s="32"/>
      <c r="C860" s="32"/>
      <c r="D860" s="32"/>
      <c r="E860" s="32"/>
      <c r="F860" s="32"/>
      <c r="G860" s="32"/>
      <c r="H860" s="32"/>
      <c r="I860" s="32"/>
      <c r="J860" s="32"/>
      <c r="K860" s="32"/>
      <c r="L860" s="32"/>
      <c r="M860" s="32" t="str">
        <f t="shared" si="14"/>
        <v/>
      </c>
      <c r="N860" s="32"/>
    </row>
    <row r="861" spans="1:14" s="36" customFormat="1" ht="14.1" customHeight="1" x14ac:dyDescent="0.25">
      <c r="A861" s="32" t="str">
        <f>IF(B861&lt;&gt;"",_xlfn.TEXTJOIN("-",1,COUNTIF($B$2:$B861,B861),B861:E861),"")</f>
        <v/>
      </c>
      <c r="B861" s="32"/>
      <c r="C861" s="32"/>
      <c r="D861" s="32"/>
      <c r="E861" s="32"/>
      <c r="F861" s="32"/>
      <c r="G861" s="32"/>
      <c r="H861" s="32"/>
      <c r="I861" s="32"/>
      <c r="J861" s="32"/>
      <c r="K861" s="32"/>
      <c r="L861" s="32"/>
      <c r="M861" s="32" t="str">
        <f t="shared" si="14"/>
        <v/>
      </c>
      <c r="N861" s="32"/>
    </row>
    <row r="862" spans="1:14" s="36" customFormat="1" ht="14.1" customHeight="1" x14ac:dyDescent="0.25">
      <c r="A862" s="32" t="str">
        <f>IF(B862&lt;&gt;"",_xlfn.TEXTJOIN("-",1,COUNTIF($B$2:$B862,B862),B862:E862),"")</f>
        <v/>
      </c>
      <c r="B862" s="32"/>
      <c r="C862" s="32"/>
      <c r="D862" s="32"/>
      <c r="E862" s="32"/>
      <c r="F862" s="32"/>
      <c r="G862" s="32"/>
      <c r="H862" s="32"/>
      <c r="I862" s="32"/>
      <c r="J862" s="32"/>
      <c r="K862" s="32"/>
      <c r="L862" s="32"/>
      <c r="M862" s="32" t="str">
        <f t="shared" si="14"/>
        <v/>
      </c>
      <c r="N862" s="32"/>
    </row>
    <row r="863" spans="1:14" s="36" customFormat="1" ht="14.1" customHeight="1" x14ac:dyDescent="0.25">
      <c r="A863" s="32" t="str">
        <f>IF(B863&lt;&gt;"",_xlfn.TEXTJOIN("-",1,COUNTIF($B$2:$B863,B863),B863:E863),"")</f>
        <v/>
      </c>
      <c r="B863" s="32"/>
      <c r="C863" s="32"/>
      <c r="D863" s="32"/>
      <c r="E863" s="32"/>
      <c r="F863" s="32"/>
      <c r="G863" s="32"/>
      <c r="H863" s="32"/>
      <c r="I863" s="32"/>
      <c r="J863" s="32"/>
      <c r="K863" s="32"/>
      <c r="L863" s="32"/>
      <c r="M863" s="32" t="str">
        <f t="shared" si="14"/>
        <v/>
      </c>
      <c r="N863" s="32"/>
    </row>
    <row r="864" spans="1:14" s="36" customFormat="1" ht="14.1" customHeight="1" x14ac:dyDescent="0.25">
      <c r="A864" s="32" t="str">
        <f>IF(B864&lt;&gt;"",_xlfn.TEXTJOIN("-",1,COUNTIF($B$2:$B864,B864),B864:E864),"")</f>
        <v/>
      </c>
      <c r="B864" s="32"/>
      <c r="C864" s="32"/>
      <c r="D864" s="32"/>
      <c r="E864" s="32"/>
      <c r="F864" s="32"/>
      <c r="G864" s="32"/>
      <c r="H864" s="32"/>
      <c r="I864" s="32"/>
      <c r="J864" s="32"/>
      <c r="K864" s="32"/>
      <c r="L864" s="32"/>
      <c r="M864" s="32" t="str">
        <f t="shared" si="14"/>
        <v/>
      </c>
      <c r="N864" s="32"/>
    </row>
    <row r="865" spans="1:14" s="36" customFormat="1" ht="14.1" customHeight="1" x14ac:dyDescent="0.25">
      <c r="A865" s="32" t="str">
        <f>IF(B865&lt;&gt;"",_xlfn.TEXTJOIN("-",1,COUNTIF($B$2:$B865,B865),B865:E865),"")</f>
        <v/>
      </c>
      <c r="B865" s="32"/>
      <c r="C865" s="32"/>
      <c r="D865" s="32"/>
      <c r="E865" s="32"/>
      <c r="F865" s="32"/>
      <c r="G865" s="32"/>
      <c r="H865" s="32"/>
      <c r="I865" s="32"/>
      <c r="J865" s="32"/>
      <c r="K865" s="32"/>
      <c r="L865" s="32"/>
      <c r="M865" s="32" t="str">
        <f t="shared" si="14"/>
        <v/>
      </c>
      <c r="N865" s="32"/>
    </row>
    <row r="866" spans="1:14" s="36" customFormat="1" ht="14.1" customHeight="1" x14ac:dyDescent="0.25">
      <c r="A866" s="32" t="str">
        <f>IF(B866&lt;&gt;"",_xlfn.TEXTJOIN("-",1,COUNTIF($B$2:$B866,B866),B866:E866),"")</f>
        <v/>
      </c>
      <c r="B866" s="32"/>
      <c r="C866" s="32"/>
      <c r="D866" s="32"/>
      <c r="E866" s="32"/>
      <c r="F866" s="32"/>
      <c r="G866" s="32"/>
      <c r="H866" s="32"/>
      <c r="I866" s="32"/>
      <c r="J866" s="32"/>
      <c r="K866" s="32"/>
      <c r="L866" s="32"/>
      <c r="M866" s="32" t="str">
        <f t="shared" si="14"/>
        <v/>
      </c>
      <c r="N866" s="32"/>
    </row>
    <row r="867" spans="1:14" s="36" customFormat="1" ht="14.1" customHeight="1" x14ac:dyDescent="0.25">
      <c r="A867" s="32" t="str">
        <f>IF(B867&lt;&gt;"",_xlfn.TEXTJOIN("-",1,COUNTIF($B$2:$B867,B867),B867:E867),"")</f>
        <v/>
      </c>
      <c r="B867" s="32"/>
      <c r="C867" s="32"/>
      <c r="D867" s="32"/>
      <c r="E867" s="32"/>
      <c r="F867" s="32"/>
      <c r="G867" s="32"/>
      <c r="H867" s="32"/>
      <c r="I867" s="32"/>
      <c r="J867" s="32"/>
      <c r="K867" s="32"/>
      <c r="L867" s="32"/>
      <c r="M867" s="32" t="str">
        <f t="shared" si="14"/>
        <v/>
      </c>
      <c r="N867" s="32"/>
    </row>
    <row r="868" spans="1:14" s="36" customFormat="1" ht="14.1" customHeight="1" x14ac:dyDescent="0.25">
      <c r="A868" s="32" t="str">
        <f>IF(B868&lt;&gt;"",_xlfn.TEXTJOIN("-",1,COUNTIF($B$2:$B868,B868),B868:E868),"")</f>
        <v/>
      </c>
      <c r="B868" s="32"/>
      <c r="C868" s="32"/>
      <c r="D868" s="32"/>
      <c r="E868" s="32"/>
      <c r="F868" s="32"/>
      <c r="G868" s="32"/>
      <c r="H868" s="32"/>
      <c r="I868" s="32"/>
      <c r="J868" s="32"/>
      <c r="K868" s="32"/>
      <c r="L868" s="32"/>
      <c r="M868" s="32" t="str">
        <f t="shared" si="14"/>
        <v/>
      </c>
      <c r="N868" s="32"/>
    </row>
    <row r="869" spans="1:14" s="36" customFormat="1" ht="14.1" customHeight="1" x14ac:dyDescent="0.25">
      <c r="A869" s="32" t="str">
        <f>IF(B869&lt;&gt;"",_xlfn.TEXTJOIN("-",1,COUNTIF($B$2:$B869,B869),B869:E869),"")</f>
        <v/>
      </c>
      <c r="B869" s="32"/>
      <c r="C869" s="32"/>
      <c r="D869" s="32"/>
      <c r="E869" s="32"/>
      <c r="F869" s="32"/>
      <c r="G869" s="32"/>
      <c r="H869" s="32"/>
      <c r="I869" s="32"/>
      <c r="J869" s="32"/>
      <c r="K869" s="32"/>
      <c r="L869" s="32"/>
      <c r="M869" s="32" t="str">
        <f t="shared" si="14"/>
        <v/>
      </c>
      <c r="N869" s="32"/>
    </row>
    <row r="870" spans="1:14" s="36" customFormat="1" ht="14.1" customHeight="1" x14ac:dyDescent="0.25">
      <c r="A870" s="32" t="str">
        <f>IF(B870&lt;&gt;"",_xlfn.TEXTJOIN("-",1,COUNTIF($B$2:$B870,B870),B870:E870),"")</f>
        <v/>
      </c>
      <c r="B870" s="32"/>
      <c r="C870" s="32"/>
      <c r="D870" s="32"/>
      <c r="E870" s="32"/>
      <c r="F870" s="32"/>
      <c r="G870" s="32"/>
      <c r="H870" s="32"/>
      <c r="I870" s="32"/>
      <c r="J870" s="32"/>
      <c r="K870" s="32"/>
      <c r="L870" s="32"/>
      <c r="M870" s="32" t="str">
        <f t="shared" si="14"/>
        <v/>
      </c>
      <c r="N870" s="32"/>
    </row>
    <row r="871" spans="1:14" s="36" customFormat="1" ht="14.1" customHeight="1" x14ac:dyDescent="0.25">
      <c r="A871" s="32" t="str">
        <f>IF(B871&lt;&gt;"",_xlfn.TEXTJOIN("-",1,COUNTIF($B$2:$B871,B871),B871:E871),"")</f>
        <v/>
      </c>
      <c r="B871" s="32"/>
      <c r="C871" s="32"/>
      <c r="D871" s="32"/>
      <c r="E871" s="32"/>
      <c r="F871" s="32"/>
      <c r="G871" s="32"/>
      <c r="H871" s="32"/>
      <c r="I871" s="32"/>
      <c r="J871" s="32"/>
      <c r="K871" s="32"/>
      <c r="L871" s="32"/>
      <c r="M871" s="32" t="str">
        <f t="shared" si="14"/>
        <v/>
      </c>
      <c r="N871" s="32"/>
    </row>
    <row r="872" spans="1:14" s="36" customFormat="1" ht="14.1" customHeight="1" x14ac:dyDescent="0.25">
      <c r="A872" s="32" t="str">
        <f>IF(B872&lt;&gt;"",_xlfn.TEXTJOIN("-",1,COUNTIF($B$2:$B872,B872),B872:E872),"")</f>
        <v/>
      </c>
      <c r="B872" s="32"/>
      <c r="C872" s="32"/>
      <c r="D872" s="32"/>
      <c r="E872" s="32"/>
      <c r="F872" s="32"/>
      <c r="G872" s="32"/>
      <c r="H872" s="32"/>
      <c r="I872" s="32"/>
      <c r="J872" s="32"/>
      <c r="K872" s="32"/>
      <c r="L872" s="32"/>
      <c r="M872" s="32" t="str">
        <f t="shared" si="14"/>
        <v/>
      </c>
      <c r="N872" s="32"/>
    </row>
    <row r="873" spans="1:14" s="36" customFormat="1" ht="14.1" customHeight="1" x14ac:dyDescent="0.25">
      <c r="A873" s="32" t="str">
        <f>IF(B873&lt;&gt;"",_xlfn.TEXTJOIN("-",1,COUNTIF($B$2:$B873,B873),B873:E873),"")</f>
        <v/>
      </c>
      <c r="B873" s="32"/>
      <c r="C873" s="32"/>
      <c r="D873" s="32"/>
      <c r="E873" s="32"/>
      <c r="F873" s="32"/>
      <c r="G873" s="32"/>
      <c r="H873" s="32"/>
      <c r="I873" s="32"/>
      <c r="J873" s="32"/>
      <c r="K873" s="32"/>
      <c r="L873" s="32"/>
      <c r="M873" s="32" t="str">
        <f t="shared" si="14"/>
        <v/>
      </c>
      <c r="N873" s="32"/>
    </row>
    <row r="874" spans="1:14" s="36" customFormat="1" ht="14.1" customHeight="1" x14ac:dyDescent="0.25">
      <c r="A874" s="32" t="str">
        <f>IF(B874&lt;&gt;"",_xlfn.TEXTJOIN("-",1,COUNTIF($B$2:$B874,B874),B874:E874),"")</f>
        <v/>
      </c>
      <c r="B874" s="32"/>
      <c r="C874" s="32"/>
      <c r="D874" s="32"/>
      <c r="E874" s="32"/>
      <c r="F874" s="32"/>
      <c r="G874" s="32"/>
      <c r="H874" s="32"/>
      <c r="I874" s="32"/>
      <c r="J874" s="32"/>
      <c r="K874" s="32"/>
      <c r="L874" s="32"/>
      <c r="M874" s="32" t="str">
        <f t="shared" si="14"/>
        <v/>
      </c>
      <c r="N874" s="32"/>
    </row>
    <row r="875" spans="1:14" s="36" customFormat="1" ht="14.1" customHeight="1" x14ac:dyDescent="0.25">
      <c r="A875" s="32" t="str">
        <f>IF(B875&lt;&gt;"",_xlfn.TEXTJOIN("-",1,COUNTIF($B$2:$B875,B875),B875:E875),"")</f>
        <v/>
      </c>
      <c r="B875" s="32"/>
      <c r="C875" s="32"/>
      <c r="D875" s="32"/>
      <c r="E875" s="32"/>
      <c r="F875" s="32"/>
      <c r="G875" s="32"/>
      <c r="H875" s="32"/>
      <c r="I875" s="32"/>
      <c r="J875" s="32"/>
      <c r="K875" s="32"/>
      <c r="L875" s="32"/>
      <c r="M875" s="32" t="str">
        <f t="shared" si="14"/>
        <v/>
      </c>
      <c r="N875" s="32"/>
    </row>
    <row r="876" spans="1:14" s="36" customFormat="1" ht="14.1" customHeight="1" x14ac:dyDescent="0.25">
      <c r="A876" s="32" t="str">
        <f>IF(B876&lt;&gt;"",_xlfn.TEXTJOIN("-",1,COUNTIF($B$2:$B876,B876),B876:E876),"")</f>
        <v/>
      </c>
      <c r="B876" s="32"/>
      <c r="C876" s="32"/>
      <c r="D876" s="32"/>
      <c r="E876" s="32"/>
      <c r="F876" s="32"/>
      <c r="G876" s="32"/>
      <c r="H876" s="32"/>
      <c r="I876" s="32"/>
      <c r="J876" s="32"/>
      <c r="K876" s="32"/>
      <c r="L876" s="32"/>
      <c r="M876" s="32" t="str">
        <f t="shared" si="14"/>
        <v/>
      </c>
      <c r="N876" s="32"/>
    </row>
    <row r="877" spans="1:14" s="36" customFormat="1" ht="14.1" customHeight="1" x14ac:dyDescent="0.25">
      <c r="A877" s="32" t="str">
        <f>IF(B877&lt;&gt;"",_xlfn.TEXTJOIN("-",1,COUNTIF($B$2:$B877,B877),B877:E877),"")</f>
        <v/>
      </c>
      <c r="B877" s="32"/>
      <c r="C877" s="32"/>
      <c r="D877" s="32"/>
      <c r="E877" s="32"/>
      <c r="F877" s="32"/>
      <c r="G877" s="32"/>
      <c r="H877" s="32"/>
      <c r="I877" s="32"/>
      <c r="J877" s="32"/>
      <c r="K877" s="32"/>
      <c r="L877" s="32"/>
      <c r="M877" s="32" t="str">
        <f t="shared" si="14"/>
        <v/>
      </c>
      <c r="N877" s="32"/>
    </row>
    <row r="878" spans="1:14" s="36" customFormat="1" ht="14.1" customHeight="1" x14ac:dyDescent="0.25">
      <c r="A878" s="32" t="str">
        <f>IF(B878&lt;&gt;"",_xlfn.TEXTJOIN("-",1,COUNTIF($B$2:$B878,B878),B878:E878),"")</f>
        <v/>
      </c>
      <c r="B878" s="32"/>
      <c r="C878" s="32"/>
      <c r="D878" s="32"/>
      <c r="E878" s="32"/>
      <c r="F878" s="32"/>
      <c r="G878" s="32"/>
      <c r="H878" s="32"/>
      <c r="I878" s="32"/>
      <c r="J878" s="32"/>
      <c r="K878" s="32"/>
      <c r="L878" s="32"/>
      <c r="M878" s="32" t="str">
        <f t="shared" si="14"/>
        <v/>
      </c>
      <c r="N878" s="32"/>
    </row>
    <row r="879" spans="1:14" s="36" customFormat="1" ht="14.1" customHeight="1" x14ac:dyDescent="0.25">
      <c r="A879" s="32" t="str">
        <f>IF(B879&lt;&gt;"",_xlfn.TEXTJOIN("-",1,COUNTIF($B$2:$B879,B879),B879:E879),"")</f>
        <v/>
      </c>
      <c r="B879" s="32"/>
      <c r="C879" s="32"/>
      <c r="D879" s="32"/>
      <c r="E879" s="32"/>
      <c r="F879" s="32"/>
      <c r="G879" s="32"/>
      <c r="H879" s="32"/>
      <c r="I879" s="32"/>
      <c r="J879" s="32"/>
      <c r="K879" s="32"/>
      <c r="L879" s="32"/>
      <c r="M879" s="32" t="str">
        <f t="shared" si="14"/>
        <v/>
      </c>
      <c r="N879" s="32"/>
    </row>
    <row r="880" spans="1:14" s="36" customFormat="1" ht="14.1" customHeight="1" x14ac:dyDescent="0.25">
      <c r="A880" s="32" t="str">
        <f>IF(B880&lt;&gt;"",_xlfn.TEXTJOIN("-",1,COUNTIF($B$2:$B880,B880),B880:E880),"")</f>
        <v/>
      </c>
      <c r="B880" s="32"/>
      <c r="C880" s="32"/>
      <c r="D880" s="32"/>
      <c r="E880" s="32"/>
      <c r="F880" s="32"/>
      <c r="G880" s="32"/>
      <c r="H880" s="32"/>
      <c r="I880" s="32"/>
      <c r="J880" s="32"/>
      <c r="K880" s="32"/>
      <c r="L880" s="32"/>
      <c r="M880" s="32" t="str">
        <f t="shared" si="14"/>
        <v/>
      </c>
      <c r="N880" s="32"/>
    </row>
    <row r="881" spans="1:14" s="36" customFormat="1" ht="14.1" customHeight="1" x14ac:dyDescent="0.25">
      <c r="A881" s="32" t="str">
        <f>IF(B881&lt;&gt;"",_xlfn.TEXTJOIN("-",1,COUNTIF($B$2:$B881,B881),B881:E881),"")</f>
        <v/>
      </c>
      <c r="B881" s="32"/>
      <c r="C881" s="32"/>
      <c r="D881" s="32"/>
      <c r="E881" s="32"/>
      <c r="F881" s="32"/>
      <c r="G881" s="32"/>
      <c r="H881" s="32"/>
      <c r="I881" s="32"/>
      <c r="J881" s="32"/>
      <c r="K881" s="32"/>
      <c r="L881" s="32"/>
      <c r="M881" s="32" t="str">
        <f t="shared" si="14"/>
        <v/>
      </c>
      <c r="N881" s="32"/>
    </row>
    <row r="882" spans="1:14" s="36" customFormat="1" ht="14.1" customHeight="1" x14ac:dyDescent="0.25">
      <c r="A882" s="32" t="str">
        <f>IF(B882&lt;&gt;"",_xlfn.TEXTJOIN("-",1,COUNTIF($B$2:$B882,B882),B882:E882),"")</f>
        <v/>
      </c>
      <c r="B882" s="32"/>
      <c r="C882" s="32"/>
      <c r="D882" s="32"/>
      <c r="E882" s="32"/>
      <c r="F882" s="32"/>
      <c r="G882" s="32"/>
      <c r="H882" s="32"/>
      <c r="I882" s="32"/>
      <c r="J882" s="32"/>
      <c r="K882" s="32"/>
      <c r="L882" s="32"/>
      <c r="M882" s="32" t="str">
        <f t="shared" si="14"/>
        <v/>
      </c>
      <c r="N882" s="32"/>
    </row>
    <row r="883" spans="1:14" s="36" customFormat="1" ht="14.1" customHeight="1" x14ac:dyDescent="0.25">
      <c r="A883" s="32" t="str">
        <f>IF(B883&lt;&gt;"",_xlfn.TEXTJOIN("-",1,COUNTIF($B$2:$B883,B883),B883:E883),"")</f>
        <v/>
      </c>
      <c r="B883" s="32"/>
      <c r="C883" s="32"/>
      <c r="D883" s="32"/>
      <c r="E883" s="32"/>
      <c r="F883" s="32"/>
      <c r="G883" s="32"/>
      <c r="H883" s="32"/>
      <c r="I883" s="32"/>
      <c r="J883" s="32"/>
      <c r="K883" s="32"/>
      <c r="L883" s="32"/>
      <c r="M883" s="32" t="str">
        <f t="shared" si="14"/>
        <v/>
      </c>
      <c r="N883" s="32"/>
    </row>
    <row r="884" spans="1:14" s="36" customFormat="1" ht="14.1" customHeight="1" x14ac:dyDescent="0.25">
      <c r="A884" s="32" t="str">
        <f>IF(B884&lt;&gt;"",_xlfn.TEXTJOIN("-",1,COUNTIF($B$2:$B884,B884),B884:E884),"")</f>
        <v/>
      </c>
      <c r="B884" s="32"/>
      <c r="C884" s="32"/>
      <c r="D884" s="32"/>
      <c r="E884" s="32"/>
      <c r="F884" s="32"/>
      <c r="G884" s="32"/>
      <c r="H884" s="32"/>
      <c r="I884" s="32"/>
      <c r="J884" s="32"/>
      <c r="K884" s="32"/>
      <c r="L884" s="32"/>
      <c r="M884" s="32" t="str">
        <f t="shared" si="14"/>
        <v/>
      </c>
      <c r="N884" s="32"/>
    </row>
    <row r="885" spans="1:14" s="36" customFormat="1" ht="14.1" customHeight="1" x14ac:dyDescent="0.25">
      <c r="A885" s="32" t="str">
        <f>IF(B885&lt;&gt;"",_xlfn.TEXTJOIN("-",1,COUNTIF($B$2:$B885,B885),B885:E885),"")</f>
        <v/>
      </c>
      <c r="B885" s="32"/>
      <c r="C885" s="32"/>
      <c r="D885" s="32"/>
      <c r="E885" s="32"/>
      <c r="F885" s="32"/>
      <c r="G885" s="32"/>
      <c r="H885" s="32"/>
      <c r="I885" s="32"/>
      <c r="J885" s="32"/>
      <c r="K885" s="32"/>
      <c r="L885" s="32"/>
      <c r="M885" s="32" t="str">
        <f t="shared" si="14"/>
        <v/>
      </c>
      <c r="N885" s="32"/>
    </row>
    <row r="886" spans="1:14" s="36" customFormat="1" ht="14.1" customHeight="1" x14ac:dyDescent="0.25">
      <c r="A886" s="32" t="str">
        <f>IF(B886&lt;&gt;"",_xlfn.TEXTJOIN("-",1,COUNTIF($B$2:$B886,B886),B886:E886),"")</f>
        <v/>
      </c>
      <c r="B886" s="32"/>
      <c r="C886" s="32"/>
      <c r="D886" s="32"/>
      <c r="E886" s="32"/>
      <c r="F886" s="32"/>
      <c r="G886" s="32"/>
      <c r="H886" s="32"/>
      <c r="I886" s="32"/>
      <c r="J886" s="32"/>
      <c r="K886" s="32"/>
      <c r="L886" s="32"/>
      <c r="M886" s="32" t="str">
        <f t="shared" si="14"/>
        <v/>
      </c>
      <c r="N886" s="32"/>
    </row>
    <row r="887" spans="1:14" s="36" customFormat="1" ht="14.1" customHeight="1" x14ac:dyDescent="0.25">
      <c r="A887" s="32" t="str">
        <f>IF(B887&lt;&gt;"",_xlfn.TEXTJOIN("-",1,COUNTIF($B$2:$B887,B887),B887:E887),"")</f>
        <v/>
      </c>
      <c r="B887" s="32"/>
      <c r="C887" s="32"/>
      <c r="D887" s="32"/>
      <c r="E887" s="32"/>
      <c r="F887" s="32"/>
      <c r="G887" s="32"/>
      <c r="H887" s="32"/>
      <c r="I887" s="32"/>
      <c r="J887" s="32"/>
      <c r="K887" s="32"/>
      <c r="L887" s="32"/>
      <c r="M887" s="32" t="str">
        <f t="shared" si="14"/>
        <v/>
      </c>
      <c r="N887" s="32"/>
    </row>
    <row r="888" spans="1:14" s="36" customFormat="1" ht="14.1" customHeight="1" x14ac:dyDescent="0.25">
      <c r="A888" s="32" t="str">
        <f>IF(B888&lt;&gt;"",_xlfn.TEXTJOIN("-",1,COUNTIF($B$2:$B888,B888),B888:E888),"")</f>
        <v/>
      </c>
      <c r="B888" s="32"/>
      <c r="C888" s="32"/>
      <c r="D888" s="32"/>
      <c r="E888" s="32"/>
      <c r="F888" s="32"/>
      <c r="G888" s="32"/>
      <c r="H888" s="32"/>
      <c r="I888" s="32"/>
      <c r="J888" s="32"/>
      <c r="K888" s="32"/>
      <c r="L888" s="32"/>
      <c r="M888" s="32" t="str">
        <f t="shared" si="14"/>
        <v/>
      </c>
      <c r="N888" s="32"/>
    </row>
    <row r="889" spans="1:14" s="36" customFormat="1" ht="14.1" customHeight="1" x14ac:dyDescent="0.25">
      <c r="A889" s="32" t="str">
        <f>IF(B889&lt;&gt;"",_xlfn.TEXTJOIN("-",1,COUNTIF($B$2:$B889,B889),B889:E889),"")</f>
        <v/>
      </c>
      <c r="B889" s="32"/>
      <c r="C889" s="32"/>
      <c r="D889" s="32"/>
      <c r="E889" s="32"/>
      <c r="F889" s="32"/>
      <c r="G889" s="32"/>
      <c r="H889" s="32"/>
      <c r="I889" s="32"/>
      <c r="J889" s="32"/>
      <c r="K889" s="32"/>
      <c r="L889" s="32"/>
      <c r="M889" s="32" t="str">
        <f t="shared" si="14"/>
        <v/>
      </c>
      <c r="N889" s="32"/>
    </row>
    <row r="890" spans="1:14" s="36" customFormat="1" ht="14.1" customHeight="1" x14ac:dyDescent="0.25">
      <c r="A890" s="32" t="str">
        <f>IF(B890&lt;&gt;"",_xlfn.TEXTJOIN("-",1,COUNTIF($B$2:$B890,B890),B890:E890),"")</f>
        <v/>
      </c>
      <c r="B890" s="32"/>
      <c r="C890" s="32"/>
      <c r="D890" s="32"/>
      <c r="E890" s="32"/>
      <c r="F890" s="32"/>
      <c r="G890" s="32"/>
      <c r="H890" s="32"/>
      <c r="I890" s="32"/>
      <c r="J890" s="32"/>
      <c r="K890" s="32"/>
      <c r="L890" s="32"/>
      <c r="M890" s="32" t="str">
        <f t="shared" si="14"/>
        <v/>
      </c>
      <c r="N890" s="32"/>
    </row>
    <row r="891" spans="1:14" s="36" customFormat="1" ht="14.1" customHeight="1" x14ac:dyDescent="0.25">
      <c r="A891" s="32" t="str">
        <f>IF(B891&lt;&gt;"",_xlfn.TEXTJOIN("-",1,COUNTIF($B$2:$B891,B891),B891:E891),"")</f>
        <v/>
      </c>
      <c r="B891" s="32"/>
      <c r="C891" s="32"/>
      <c r="D891" s="32"/>
      <c r="E891" s="32"/>
      <c r="F891" s="32"/>
      <c r="G891" s="32"/>
      <c r="H891" s="32"/>
      <c r="I891" s="32"/>
      <c r="J891" s="32"/>
      <c r="K891" s="32"/>
      <c r="L891" s="32"/>
      <c r="M891" s="32" t="str">
        <f t="shared" si="14"/>
        <v/>
      </c>
      <c r="N891" s="32"/>
    </row>
    <row r="892" spans="1:14" s="36" customFormat="1" ht="14.1" customHeight="1" x14ac:dyDescent="0.25">
      <c r="A892" s="32" t="str">
        <f>IF(B892&lt;&gt;"",_xlfn.TEXTJOIN("-",1,COUNTIF($B$2:$B892,B892),B892:E892),"")</f>
        <v/>
      </c>
      <c r="B892" s="32"/>
      <c r="C892" s="32"/>
      <c r="D892" s="32"/>
      <c r="E892" s="32"/>
      <c r="F892" s="32"/>
      <c r="G892" s="32"/>
      <c r="H892" s="32"/>
      <c r="I892" s="32"/>
      <c r="J892" s="32"/>
      <c r="K892" s="32"/>
      <c r="L892" s="32"/>
      <c r="M892" s="32" t="str">
        <f t="shared" si="14"/>
        <v/>
      </c>
      <c r="N892" s="32"/>
    </row>
    <row r="893" spans="1:14" s="36" customFormat="1" ht="14.1" customHeight="1" x14ac:dyDescent="0.25">
      <c r="A893" s="32" t="str">
        <f>IF(B893&lt;&gt;"",_xlfn.TEXTJOIN("-",1,COUNTIF($B$2:$B893,B893),B893:E893),"")</f>
        <v/>
      </c>
      <c r="B893" s="32"/>
      <c r="C893" s="32"/>
      <c r="D893" s="32"/>
      <c r="E893" s="32"/>
      <c r="F893" s="32"/>
      <c r="G893" s="32"/>
      <c r="H893" s="32"/>
      <c r="I893" s="32"/>
      <c r="J893" s="32"/>
      <c r="K893" s="32"/>
      <c r="L893" s="32"/>
      <c r="M893" s="32" t="str">
        <f t="shared" si="14"/>
        <v/>
      </c>
      <c r="N893" s="32"/>
    </row>
    <row r="894" spans="1:14" s="36" customFormat="1" ht="14.1" customHeight="1" x14ac:dyDescent="0.25">
      <c r="A894" s="32" t="str">
        <f>IF(B894&lt;&gt;"",_xlfn.TEXTJOIN("-",1,COUNTIF($B$2:$B894,B894),B894:E894),"")</f>
        <v/>
      </c>
      <c r="B894" s="32"/>
      <c r="C894" s="32"/>
      <c r="D894" s="32"/>
      <c r="E894" s="32"/>
      <c r="F894" s="32"/>
      <c r="G894" s="32"/>
      <c r="H894" s="32"/>
      <c r="I894" s="32"/>
      <c r="J894" s="32"/>
      <c r="K894" s="32"/>
      <c r="L894" s="32"/>
      <c r="M894" s="32" t="str">
        <f t="shared" si="14"/>
        <v/>
      </c>
      <c r="N894" s="32"/>
    </row>
    <row r="895" spans="1:14" s="36" customFormat="1" ht="14.1" customHeight="1" x14ac:dyDescent="0.25">
      <c r="A895" s="32" t="str">
        <f>IF(B895&lt;&gt;"",_xlfn.TEXTJOIN("-",1,COUNTIF($B$2:$B895,B895),B895:E895),"")</f>
        <v/>
      </c>
      <c r="B895" s="32"/>
      <c r="C895" s="32"/>
      <c r="D895" s="32"/>
      <c r="E895" s="32"/>
      <c r="F895" s="32"/>
      <c r="G895" s="32"/>
      <c r="H895" s="32"/>
      <c r="I895" s="32"/>
      <c r="J895" s="32"/>
      <c r="K895" s="32"/>
      <c r="L895" s="32"/>
      <c r="M895" s="32" t="str">
        <f t="shared" si="14"/>
        <v/>
      </c>
      <c r="N895" s="32"/>
    </row>
    <row r="896" spans="1:14" s="36" customFormat="1" ht="14.1" customHeight="1" x14ac:dyDescent="0.25">
      <c r="A896" s="32" t="str">
        <f>IF(B896&lt;&gt;"",_xlfn.TEXTJOIN("-",1,COUNTIF($B$2:$B896,B896),B896:E896),"")</f>
        <v/>
      </c>
      <c r="B896" s="32"/>
      <c r="C896" s="32"/>
      <c r="D896" s="32"/>
      <c r="E896" s="32"/>
      <c r="F896" s="32"/>
      <c r="G896" s="32"/>
      <c r="H896" s="32"/>
      <c r="I896" s="32"/>
      <c r="J896" s="32"/>
      <c r="K896" s="32"/>
      <c r="L896" s="32"/>
      <c r="M896" s="32" t="str">
        <f t="shared" si="14"/>
        <v/>
      </c>
      <c r="N896" s="32"/>
    </row>
    <row r="897" spans="1:14" s="36" customFormat="1" ht="14.1" customHeight="1" x14ac:dyDescent="0.25">
      <c r="A897" s="32" t="str">
        <f>IF(B897&lt;&gt;"",_xlfn.TEXTJOIN("-",1,COUNTIF($B$2:$B897,B897),B897:E897),"")</f>
        <v/>
      </c>
      <c r="B897" s="32"/>
      <c r="C897" s="32"/>
      <c r="D897" s="32"/>
      <c r="E897" s="32"/>
      <c r="F897" s="32"/>
      <c r="G897" s="32"/>
      <c r="H897" s="32"/>
      <c r="I897" s="32"/>
      <c r="J897" s="32"/>
      <c r="K897" s="32"/>
      <c r="L897" s="32"/>
      <c r="M897" s="32" t="str">
        <f t="shared" si="14"/>
        <v/>
      </c>
      <c r="N897" s="32"/>
    </row>
    <row r="898" spans="1:14" s="36" customFormat="1" ht="14.1" customHeight="1" x14ac:dyDescent="0.25">
      <c r="A898" s="32" t="str">
        <f>IF(B898&lt;&gt;"",_xlfn.TEXTJOIN("-",1,COUNTIF($B$2:$B898,B898),B898:E898),"")</f>
        <v/>
      </c>
      <c r="B898" s="32"/>
      <c r="C898" s="32"/>
      <c r="D898" s="32"/>
      <c r="E898" s="32"/>
      <c r="F898" s="32"/>
      <c r="G898" s="32"/>
      <c r="H898" s="32"/>
      <c r="I898" s="32"/>
      <c r="J898" s="32"/>
      <c r="K898" s="32"/>
      <c r="L898" s="32"/>
      <c r="M898" s="32" t="str">
        <f t="shared" si="14"/>
        <v/>
      </c>
      <c r="N898" s="32"/>
    </row>
    <row r="899" spans="1:14" s="36" customFormat="1" ht="14.1" customHeight="1" x14ac:dyDescent="0.25">
      <c r="A899" s="32" t="str">
        <f>IF(B899&lt;&gt;"",_xlfn.TEXTJOIN("-",1,COUNTIF($B$2:$B899,B899),B899:E899),"")</f>
        <v/>
      </c>
      <c r="B899" s="32"/>
      <c r="C899" s="32"/>
      <c r="D899" s="32"/>
      <c r="E899" s="32"/>
      <c r="F899" s="32"/>
      <c r="G899" s="32"/>
      <c r="H899" s="32"/>
      <c r="I899" s="32"/>
      <c r="J899" s="32"/>
      <c r="K899" s="32"/>
      <c r="L899" s="32"/>
      <c r="M899" s="32" t="str">
        <f t="shared" ref="M899:M962" si="15">IF(B899="FN",_xlfn.CONCAT("egor.v.ivanov+",LEFT(C899,1),"_",LEFT(D899,2),"_",E899,"@outlook.com"),"")</f>
        <v/>
      </c>
      <c r="N899" s="32"/>
    </row>
    <row r="900" spans="1:14" s="36" customFormat="1" ht="14.1" customHeight="1" x14ac:dyDescent="0.25">
      <c r="A900" s="32" t="str">
        <f>IF(B900&lt;&gt;"",_xlfn.TEXTJOIN("-",1,COUNTIF($B$2:$B900,B900),B900:E900),"")</f>
        <v/>
      </c>
      <c r="B900" s="32"/>
      <c r="C900" s="32"/>
      <c r="D900" s="32"/>
      <c r="E900" s="32"/>
      <c r="F900" s="32"/>
      <c r="G900" s="32"/>
      <c r="H900" s="32"/>
      <c r="I900" s="32"/>
      <c r="J900" s="32"/>
      <c r="K900" s="32"/>
      <c r="L900" s="32"/>
      <c r="M900" s="32" t="str">
        <f t="shared" si="15"/>
        <v/>
      </c>
      <c r="N900" s="32"/>
    </row>
    <row r="901" spans="1:14" s="36" customFormat="1" ht="14.1" customHeight="1" x14ac:dyDescent="0.25">
      <c r="A901" s="32" t="str">
        <f>IF(B901&lt;&gt;"",_xlfn.TEXTJOIN("-",1,COUNTIF($B$2:$B901,B901),B901:E901),"")</f>
        <v/>
      </c>
      <c r="B901" s="32"/>
      <c r="C901" s="32"/>
      <c r="D901" s="32"/>
      <c r="E901" s="32"/>
      <c r="F901" s="32"/>
      <c r="G901" s="32"/>
      <c r="H901" s="32"/>
      <c r="I901" s="32"/>
      <c r="J901" s="32"/>
      <c r="K901" s="32"/>
      <c r="L901" s="32"/>
      <c r="M901" s="32" t="str">
        <f t="shared" si="15"/>
        <v/>
      </c>
      <c r="N901" s="32"/>
    </row>
    <row r="902" spans="1:14" s="36" customFormat="1" ht="14.1" customHeight="1" x14ac:dyDescent="0.25">
      <c r="A902" s="32" t="str">
        <f>IF(B902&lt;&gt;"",_xlfn.TEXTJOIN("-",1,COUNTIF($B$2:$B902,B902),B902:E902),"")</f>
        <v/>
      </c>
      <c r="B902" s="32"/>
      <c r="C902" s="32"/>
      <c r="D902" s="32"/>
      <c r="E902" s="32"/>
      <c r="F902" s="32"/>
      <c r="G902" s="32"/>
      <c r="H902" s="32"/>
      <c r="I902" s="32"/>
      <c r="J902" s="32"/>
      <c r="K902" s="32"/>
      <c r="L902" s="32"/>
      <c r="M902" s="32" t="str">
        <f t="shared" si="15"/>
        <v/>
      </c>
      <c r="N902" s="32"/>
    </row>
    <row r="903" spans="1:14" s="36" customFormat="1" ht="14.1" customHeight="1" x14ac:dyDescent="0.25">
      <c r="A903" s="32" t="str">
        <f>IF(B903&lt;&gt;"",_xlfn.TEXTJOIN("-",1,COUNTIF($B$2:$B903,B903),B903:E903),"")</f>
        <v/>
      </c>
      <c r="B903" s="32"/>
      <c r="C903" s="32"/>
      <c r="D903" s="32"/>
      <c r="E903" s="32"/>
      <c r="F903" s="32"/>
      <c r="G903" s="32"/>
      <c r="H903" s="32"/>
      <c r="I903" s="32"/>
      <c r="J903" s="32"/>
      <c r="K903" s="32"/>
      <c r="L903" s="32"/>
      <c r="M903" s="32" t="str">
        <f t="shared" si="15"/>
        <v/>
      </c>
      <c r="N903" s="32"/>
    </row>
    <row r="904" spans="1:14" s="36" customFormat="1" ht="14.1" customHeight="1" x14ac:dyDescent="0.25">
      <c r="A904" s="32" t="str">
        <f>IF(B904&lt;&gt;"",_xlfn.TEXTJOIN("-",1,COUNTIF($B$2:$B904,B904),B904:E904),"")</f>
        <v/>
      </c>
      <c r="B904" s="32"/>
      <c r="C904" s="32"/>
      <c r="D904" s="32"/>
      <c r="E904" s="32"/>
      <c r="F904" s="32"/>
      <c r="G904" s="32"/>
      <c r="H904" s="32"/>
      <c r="I904" s="32"/>
      <c r="J904" s="32"/>
      <c r="K904" s="32"/>
      <c r="L904" s="32"/>
      <c r="M904" s="32" t="str">
        <f t="shared" si="15"/>
        <v/>
      </c>
      <c r="N904" s="32"/>
    </row>
    <row r="905" spans="1:14" s="36" customFormat="1" ht="14.1" customHeight="1" x14ac:dyDescent="0.25">
      <c r="A905" s="32" t="str">
        <f>IF(B905&lt;&gt;"",_xlfn.TEXTJOIN("-",1,COUNTIF($B$2:$B905,B905),B905:E905),"")</f>
        <v/>
      </c>
      <c r="B905" s="32"/>
      <c r="C905" s="32"/>
      <c r="D905" s="32"/>
      <c r="E905" s="32"/>
      <c r="F905" s="32"/>
      <c r="G905" s="32"/>
      <c r="H905" s="32"/>
      <c r="I905" s="32"/>
      <c r="J905" s="32"/>
      <c r="K905" s="32"/>
      <c r="L905" s="32"/>
      <c r="M905" s="32" t="str">
        <f t="shared" si="15"/>
        <v/>
      </c>
      <c r="N905" s="32"/>
    </row>
    <row r="906" spans="1:14" s="36" customFormat="1" ht="14.1" customHeight="1" x14ac:dyDescent="0.25">
      <c r="A906" s="32" t="str">
        <f>IF(B906&lt;&gt;"",_xlfn.TEXTJOIN("-",1,COUNTIF($B$2:$B906,B906),B906:E906),"")</f>
        <v/>
      </c>
      <c r="B906" s="32"/>
      <c r="C906" s="32"/>
      <c r="D906" s="32"/>
      <c r="E906" s="32"/>
      <c r="F906" s="32"/>
      <c r="G906" s="32"/>
      <c r="H906" s="32"/>
      <c r="I906" s="32"/>
      <c r="J906" s="32"/>
      <c r="K906" s="32"/>
      <c r="L906" s="32"/>
      <c r="M906" s="32" t="str">
        <f t="shared" si="15"/>
        <v/>
      </c>
      <c r="N906" s="32"/>
    </row>
    <row r="907" spans="1:14" s="36" customFormat="1" ht="14.1" customHeight="1" x14ac:dyDescent="0.25">
      <c r="A907" s="32" t="str">
        <f>IF(B907&lt;&gt;"",_xlfn.TEXTJOIN("-",1,COUNTIF($B$2:$B907,B907),B907:E907),"")</f>
        <v/>
      </c>
      <c r="B907" s="32"/>
      <c r="C907" s="32"/>
      <c r="D907" s="32"/>
      <c r="E907" s="32"/>
      <c r="F907" s="32"/>
      <c r="G907" s="32"/>
      <c r="H907" s="32"/>
      <c r="I907" s="32"/>
      <c r="J907" s="32"/>
      <c r="K907" s="32"/>
      <c r="L907" s="32"/>
      <c r="M907" s="32" t="str">
        <f t="shared" si="15"/>
        <v/>
      </c>
      <c r="N907" s="32"/>
    </row>
    <row r="908" spans="1:14" s="36" customFormat="1" ht="14.1" customHeight="1" x14ac:dyDescent="0.25">
      <c r="A908" s="32" t="str">
        <f>IF(B908&lt;&gt;"",_xlfn.TEXTJOIN("-",1,COUNTIF($B$2:$B908,B908),B908:E908),"")</f>
        <v/>
      </c>
      <c r="B908" s="32"/>
      <c r="C908" s="32"/>
      <c r="D908" s="32"/>
      <c r="E908" s="32"/>
      <c r="F908" s="32"/>
      <c r="G908" s="32"/>
      <c r="H908" s="32"/>
      <c r="I908" s="32"/>
      <c r="J908" s="32"/>
      <c r="K908" s="32"/>
      <c r="L908" s="32"/>
      <c r="M908" s="32" t="str">
        <f t="shared" si="15"/>
        <v/>
      </c>
      <c r="N908" s="32"/>
    </row>
    <row r="909" spans="1:14" s="36" customFormat="1" ht="14.1" customHeight="1" x14ac:dyDescent="0.25">
      <c r="A909" s="32" t="str">
        <f>IF(B909&lt;&gt;"",_xlfn.TEXTJOIN("-",1,COUNTIF($B$2:$B909,B909),B909:E909),"")</f>
        <v/>
      </c>
      <c r="B909" s="32"/>
      <c r="C909" s="32"/>
      <c r="D909" s="32"/>
      <c r="E909" s="32"/>
      <c r="F909" s="32"/>
      <c r="G909" s="32"/>
      <c r="H909" s="32"/>
      <c r="I909" s="32"/>
      <c r="J909" s="32"/>
      <c r="K909" s="32"/>
      <c r="L909" s="32"/>
      <c r="M909" s="32" t="str">
        <f t="shared" si="15"/>
        <v/>
      </c>
      <c r="N909" s="32"/>
    </row>
    <row r="910" spans="1:14" s="36" customFormat="1" ht="14.1" customHeight="1" x14ac:dyDescent="0.25">
      <c r="A910" s="32" t="str">
        <f>IF(B910&lt;&gt;"",_xlfn.TEXTJOIN("-",1,COUNTIF($B$2:$B910,B910),B910:E910),"")</f>
        <v/>
      </c>
      <c r="B910" s="32"/>
      <c r="C910" s="32"/>
      <c r="D910" s="32"/>
      <c r="E910" s="32"/>
      <c r="F910" s="32"/>
      <c r="G910" s="32"/>
      <c r="H910" s="32"/>
      <c r="I910" s="32"/>
      <c r="J910" s="32"/>
      <c r="K910" s="32"/>
      <c r="L910" s="32"/>
      <c r="M910" s="32" t="str">
        <f t="shared" si="15"/>
        <v/>
      </c>
      <c r="N910" s="32"/>
    </row>
    <row r="911" spans="1:14" s="36" customFormat="1" ht="14.1" customHeight="1" x14ac:dyDescent="0.25">
      <c r="A911" s="32" t="str">
        <f>IF(B911&lt;&gt;"",_xlfn.TEXTJOIN("-",1,COUNTIF($B$2:$B911,B911),B911:E911),"")</f>
        <v/>
      </c>
      <c r="B911" s="32"/>
      <c r="C911" s="32"/>
      <c r="D911" s="32"/>
      <c r="E911" s="32"/>
      <c r="F911" s="32"/>
      <c r="G911" s="32"/>
      <c r="H911" s="32"/>
      <c r="I911" s="32"/>
      <c r="J911" s="32"/>
      <c r="K911" s="32"/>
      <c r="L911" s="32"/>
      <c r="M911" s="32" t="str">
        <f t="shared" si="15"/>
        <v/>
      </c>
      <c r="N911" s="32"/>
    </row>
    <row r="912" spans="1:14" s="36" customFormat="1" ht="14.1" customHeight="1" x14ac:dyDescent="0.25">
      <c r="A912" s="32" t="str">
        <f>IF(B912&lt;&gt;"",_xlfn.TEXTJOIN("-",1,COUNTIF($B$2:$B912,B912),B912:E912),"")</f>
        <v/>
      </c>
      <c r="B912" s="32"/>
      <c r="C912" s="32"/>
      <c r="D912" s="32"/>
      <c r="E912" s="32"/>
      <c r="F912" s="32"/>
      <c r="G912" s="32"/>
      <c r="H912" s="32"/>
      <c r="I912" s="32"/>
      <c r="J912" s="32"/>
      <c r="K912" s="32"/>
      <c r="L912" s="32"/>
      <c r="M912" s="32" t="str">
        <f t="shared" si="15"/>
        <v/>
      </c>
      <c r="N912" s="32"/>
    </row>
    <row r="913" spans="1:14" s="36" customFormat="1" ht="14.1" customHeight="1" x14ac:dyDescent="0.25">
      <c r="A913" s="32" t="str">
        <f>IF(B913&lt;&gt;"",_xlfn.TEXTJOIN("-",1,COUNTIF($B$2:$B913,B913),B913:E913),"")</f>
        <v/>
      </c>
      <c r="B913" s="32"/>
      <c r="C913" s="32"/>
      <c r="D913" s="32"/>
      <c r="E913" s="32"/>
      <c r="F913" s="32"/>
      <c r="G913" s="32"/>
      <c r="H913" s="32"/>
      <c r="I913" s="32"/>
      <c r="J913" s="32"/>
      <c r="K913" s="32"/>
      <c r="L913" s="32"/>
      <c r="M913" s="32" t="str">
        <f t="shared" si="15"/>
        <v/>
      </c>
      <c r="N913" s="32"/>
    </row>
    <row r="914" spans="1:14" s="36" customFormat="1" ht="14.1" customHeight="1" x14ac:dyDescent="0.25">
      <c r="A914" s="32" t="str">
        <f>IF(B914&lt;&gt;"",_xlfn.TEXTJOIN("-",1,COUNTIF($B$2:$B914,B914),B914:E914),"")</f>
        <v/>
      </c>
      <c r="B914" s="32"/>
      <c r="C914" s="32"/>
      <c r="D914" s="32"/>
      <c r="E914" s="32"/>
      <c r="F914" s="32"/>
      <c r="G914" s="32"/>
      <c r="H914" s="32"/>
      <c r="I914" s="32"/>
      <c r="J914" s="32"/>
      <c r="K914" s="32"/>
      <c r="L914" s="32"/>
      <c r="M914" s="32" t="str">
        <f t="shared" si="15"/>
        <v/>
      </c>
      <c r="N914" s="32"/>
    </row>
    <row r="915" spans="1:14" s="36" customFormat="1" ht="14.1" customHeight="1" x14ac:dyDescent="0.25">
      <c r="A915" s="32" t="str">
        <f>IF(B915&lt;&gt;"",_xlfn.TEXTJOIN("-",1,COUNTIF($B$2:$B915,B915),B915:E915),"")</f>
        <v/>
      </c>
      <c r="B915" s="32"/>
      <c r="C915" s="32"/>
      <c r="D915" s="32"/>
      <c r="E915" s="32"/>
      <c r="F915" s="32"/>
      <c r="G915" s="32"/>
      <c r="H915" s="32"/>
      <c r="I915" s="32"/>
      <c r="J915" s="32"/>
      <c r="K915" s="32"/>
      <c r="L915" s="32"/>
      <c r="M915" s="32" t="str">
        <f t="shared" si="15"/>
        <v/>
      </c>
      <c r="N915" s="32"/>
    </row>
    <row r="916" spans="1:14" s="36" customFormat="1" ht="14.1" customHeight="1" x14ac:dyDescent="0.25">
      <c r="A916" s="32" t="str">
        <f>IF(B916&lt;&gt;"",_xlfn.TEXTJOIN("-",1,COUNTIF($B$2:$B916,B916),B916:E916),"")</f>
        <v/>
      </c>
      <c r="B916" s="32"/>
      <c r="C916" s="32"/>
      <c r="D916" s="32"/>
      <c r="E916" s="32"/>
      <c r="F916" s="32"/>
      <c r="G916" s="32"/>
      <c r="H916" s="32"/>
      <c r="I916" s="32"/>
      <c r="J916" s="32"/>
      <c r="K916" s="32"/>
      <c r="L916" s="32"/>
      <c r="M916" s="32" t="str">
        <f t="shared" si="15"/>
        <v/>
      </c>
      <c r="N916" s="32"/>
    </row>
    <row r="917" spans="1:14" s="36" customFormat="1" ht="14.1" customHeight="1" x14ac:dyDescent="0.25">
      <c r="A917" s="32" t="str">
        <f>IF(B917&lt;&gt;"",_xlfn.TEXTJOIN("-",1,COUNTIF($B$2:$B917,B917),B917:E917),"")</f>
        <v/>
      </c>
      <c r="B917" s="32"/>
      <c r="C917" s="32"/>
      <c r="D917" s="32"/>
      <c r="E917" s="32"/>
      <c r="F917" s="32"/>
      <c r="G917" s="32"/>
      <c r="H917" s="32"/>
      <c r="I917" s="32"/>
      <c r="J917" s="32"/>
      <c r="K917" s="32"/>
      <c r="L917" s="32"/>
      <c r="M917" s="32" t="str">
        <f t="shared" si="15"/>
        <v/>
      </c>
      <c r="N917" s="32"/>
    </row>
    <row r="918" spans="1:14" s="36" customFormat="1" ht="14.1" customHeight="1" x14ac:dyDescent="0.25">
      <c r="A918" s="32" t="str">
        <f>IF(B918&lt;&gt;"",_xlfn.TEXTJOIN("-",1,COUNTIF($B$2:$B918,B918),B918:E918),"")</f>
        <v/>
      </c>
      <c r="B918" s="32"/>
      <c r="C918" s="32"/>
      <c r="D918" s="32"/>
      <c r="E918" s="32"/>
      <c r="F918" s="32"/>
      <c r="G918" s="32"/>
      <c r="H918" s="32"/>
      <c r="I918" s="32"/>
      <c r="J918" s="32"/>
      <c r="K918" s="32"/>
      <c r="L918" s="32"/>
      <c r="M918" s="32" t="str">
        <f t="shared" si="15"/>
        <v/>
      </c>
      <c r="N918" s="32"/>
    </row>
    <row r="919" spans="1:14" s="36" customFormat="1" ht="14.1" customHeight="1" x14ac:dyDescent="0.25">
      <c r="A919" s="32" t="str">
        <f>IF(B919&lt;&gt;"",_xlfn.TEXTJOIN("-",1,COUNTIF($B$2:$B919,B919),B919:E919),"")</f>
        <v/>
      </c>
      <c r="B919" s="32"/>
      <c r="C919" s="32"/>
      <c r="D919" s="32"/>
      <c r="E919" s="32"/>
      <c r="F919" s="32"/>
      <c r="G919" s="32"/>
      <c r="H919" s="32"/>
      <c r="I919" s="32"/>
      <c r="J919" s="32"/>
      <c r="K919" s="32"/>
      <c r="L919" s="32"/>
      <c r="M919" s="32" t="str">
        <f t="shared" si="15"/>
        <v/>
      </c>
      <c r="N919" s="32"/>
    </row>
    <row r="920" spans="1:14" s="36" customFormat="1" ht="14.1" customHeight="1" x14ac:dyDescent="0.25">
      <c r="A920" s="32" t="str">
        <f>IF(B920&lt;&gt;"",_xlfn.TEXTJOIN("-",1,COUNTIF($B$2:$B920,B920),B920:E920),"")</f>
        <v/>
      </c>
      <c r="B920" s="32"/>
      <c r="C920" s="32"/>
      <c r="D920" s="32"/>
      <c r="E920" s="32"/>
      <c r="F920" s="32"/>
      <c r="G920" s="32"/>
      <c r="H920" s="32"/>
      <c r="I920" s="32"/>
      <c r="J920" s="32"/>
      <c r="K920" s="32"/>
      <c r="L920" s="32"/>
      <c r="M920" s="32" t="str">
        <f t="shared" si="15"/>
        <v/>
      </c>
      <c r="N920" s="32"/>
    </row>
    <row r="921" spans="1:14" s="36" customFormat="1" ht="14.1" customHeight="1" x14ac:dyDescent="0.25">
      <c r="A921" s="32" t="str">
        <f>IF(B921&lt;&gt;"",_xlfn.TEXTJOIN("-",1,COUNTIF($B$2:$B921,B921),B921:E921),"")</f>
        <v/>
      </c>
      <c r="B921" s="32"/>
      <c r="C921" s="32"/>
      <c r="D921" s="32"/>
      <c r="E921" s="32"/>
      <c r="F921" s="32"/>
      <c r="G921" s="32"/>
      <c r="H921" s="32"/>
      <c r="I921" s="32"/>
      <c r="J921" s="32"/>
      <c r="K921" s="32"/>
      <c r="L921" s="32"/>
      <c r="M921" s="32" t="str">
        <f t="shared" si="15"/>
        <v/>
      </c>
      <c r="N921" s="32"/>
    </row>
    <row r="922" spans="1:14" s="36" customFormat="1" ht="14.1" customHeight="1" x14ac:dyDescent="0.25">
      <c r="A922" s="32" t="str">
        <f>IF(B922&lt;&gt;"",_xlfn.TEXTJOIN("-",1,COUNTIF($B$2:$B922,B922),B922:E922),"")</f>
        <v/>
      </c>
      <c r="B922" s="32"/>
      <c r="C922" s="32"/>
      <c r="D922" s="32"/>
      <c r="E922" s="32"/>
      <c r="F922" s="32"/>
      <c r="G922" s="32"/>
      <c r="H922" s="32"/>
      <c r="I922" s="32"/>
      <c r="J922" s="32"/>
      <c r="K922" s="32"/>
      <c r="L922" s="32"/>
      <c r="M922" s="32" t="str">
        <f t="shared" si="15"/>
        <v/>
      </c>
      <c r="N922" s="32"/>
    </row>
    <row r="923" spans="1:14" s="36" customFormat="1" ht="14.1" customHeight="1" x14ac:dyDescent="0.25">
      <c r="A923" s="32" t="str">
        <f>IF(B923&lt;&gt;"",_xlfn.TEXTJOIN("-",1,COUNTIF($B$2:$B923,B923),B923:E923),"")</f>
        <v/>
      </c>
      <c r="B923" s="32"/>
      <c r="C923" s="32"/>
      <c r="D923" s="32"/>
      <c r="E923" s="32"/>
      <c r="F923" s="32"/>
      <c r="G923" s="32"/>
      <c r="H923" s="32"/>
      <c r="I923" s="32"/>
      <c r="J923" s="32"/>
      <c r="K923" s="32"/>
      <c r="L923" s="32"/>
      <c r="M923" s="32" t="str">
        <f t="shared" si="15"/>
        <v/>
      </c>
      <c r="N923" s="32"/>
    </row>
    <row r="924" spans="1:14" s="36" customFormat="1" ht="14.1" customHeight="1" x14ac:dyDescent="0.25">
      <c r="A924" s="32" t="str">
        <f>IF(B924&lt;&gt;"",_xlfn.TEXTJOIN("-",1,COUNTIF($B$2:$B924,B924),B924:E924),"")</f>
        <v/>
      </c>
      <c r="B924" s="32"/>
      <c r="C924" s="32"/>
      <c r="D924" s="32"/>
      <c r="E924" s="32"/>
      <c r="F924" s="32"/>
      <c r="G924" s="32"/>
      <c r="H924" s="32"/>
      <c r="I924" s="32"/>
      <c r="J924" s="32"/>
      <c r="K924" s="32"/>
      <c r="L924" s="32"/>
      <c r="M924" s="32" t="str">
        <f t="shared" si="15"/>
        <v/>
      </c>
      <c r="N924" s="32"/>
    </row>
    <row r="925" spans="1:14" s="36" customFormat="1" ht="14.1" customHeight="1" x14ac:dyDescent="0.25">
      <c r="A925" s="32" t="str">
        <f>IF(B925&lt;&gt;"",_xlfn.TEXTJOIN("-",1,COUNTIF($B$2:$B925,B925),B925:E925),"")</f>
        <v/>
      </c>
      <c r="B925" s="32"/>
      <c r="C925" s="32"/>
      <c r="D925" s="32"/>
      <c r="E925" s="32"/>
      <c r="F925" s="32"/>
      <c r="G925" s="32"/>
      <c r="H925" s="32"/>
      <c r="I925" s="32"/>
      <c r="J925" s="32"/>
      <c r="K925" s="32"/>
      <c r="L925" s="32"/>
      <c r="M925" s="32" t="str">
        <f t="shared" si="15"/>
        <v/>
      </c>
      <c r="N925" s="32"/>
    </row>
    <row r="926" spans="1:14" s="36" customFormat="1" ht="14.1" customHeight="1" x14ac:dyDescent="0.25">
      <c r="A926" s="32" t="str">
        <f>IF(B926&lt;&gt;"",_xlfn.TEXTJOIN("-",1,COUNTIF($B$2:$B926,B926),B926:E926),"")</f>
        <v/>
      </c>
      <c r="B926" s="32"/>
      <c r="C926" s="32"/>
      <c r="D926" s="32"/>
      <c r="E926" s="32"/>
      <c r="F926" s="32"/>
      <c r="G926" s="32"/>
      <c r="H926" s="32"/>
      <c r="I926" s="32"/>
      <c r="J926" s="32"/>
      <c r="K926" s="32"/>
      <c r="L926" s="32"/>
      <c r="M926" s="32" t="str">
        <f t="shared" si="15"/>
        <v/>
      </c>
      <c r="N926" s="32"/>
    </row>
    <row r="927" spans="1:14" s="36" customFormat="1" ht="14.1" customHeight="1" x14ac:dyDescent="0.25">
      <c r="A927" s="32" t="str">
        <f>IF(B927&lt;&gt;"",_xlfn.TEXTJOIN("-",1,COUNTIF($B$2:$B927,B927),B927:E927),"")</f>
        <v/>
      </c>
      <c r="B927" s="32"/>
      <c r="C927" s="32"/>
      <c r="D927" s="32"/>
      <c r="E927" s="32"/>
      <c r="F927" s="32"/>
      <c r="G927" s="32"/>
      <c r="H927" s="32"/>
      <c r="I927" s="32"/>
      <c r="J927" s="32"/>
      <c r="K927" s="32"/>
      <c r="L927" s="32"/>
      <c r="M927" s="32" t="str">
        <f t="shared" si="15"/>
        <v/>
      </c>
      <c r="N927" s="32"/>
    </row>
    <row r="928" spans="1:14" s="36" customFormat="1" ht="14.1" customHeight="1" x14ac:dyDescent="0.25">
      <c r="A928" s="32" t="str">
        <f>IF(B928&lt;&gt;"",_xlfn.TEXTJOIN("-",1,COUNTIF($B$2:$B928,B928),B928:E928),"")</f>
        <v/>
      </c>
      <c r="B928" s="32"/>
      <c r="C928" s="32"/>
      <c r="D928" s="32"/>
      <c r="E928" s="32"/>
      <c r="F928" s="32"/>
      <c r="G928" s="32"/>
      <c r="H928" s="32"/>
      <c r="I928" s="32"/>
      <c r="J928" s="32"/>
      <c r="K928" s="32"/>
      <c r="L928" s="32"/>
      <c r="M928" s="32" t="str">
        <f t="shared" si="15"/>
        <v/>
      </c>
      <c r="N928" s="32"/>
    </row>
    <row r="929" spans="1:14" s="36" customFormat="1" ht="14.1" customHeight="1" x14ac:dyDescent="0.25">
      <c r="A929" s="32" t="str">
        <f>IF(B929&lt;&gt;"",_xlfn.TEXTJOIN("-",1,COUNTIF($B$2:$B929,B929),B929:E929),"")</f>
        <v/>
      </c>
      <c r="B929" s="32"/>
      <c r="C929" s="32"/>
      <c r="D929" s="32"/>
      <c r="E929" s="32"/>
      <c r="F929" s="32"/>
      <c r="G929" s="32"/>
      <c r="H929" s="32"/>
      <c r="I929" s="32"/>
      <c r="J929" s="32"/>
      <c r="K929" s="32"/>
      <c r="L929" s="32"/>
      <c r="M929" s="32" t="str">
        <f t="shared" si="15"/>
        <v/>
      </c>
      <c r="N929" s="32"/>
    </row>
    <row r="930" spans="1:14" s="36" customFormat="1" ht="14.1" customHeight="1" x14ac:dyDescent="0.25">
      <c r="A930" s="32" t="str">
        <f>IF(B930&lt;&gt;"",_xlfn.TEXTJOIN("-",1,COUNTIF($B$2:$B930,B930),B930:E930),"")</f>
        <v/>
      </c>
      <c r="B930" s="32"/>
      <c r="C930" s="32"/>
      <c r="D930" s="32"/>
      <c r="E930" s="32"/>
      <c r="F930" s="32"/>
      <c r="G930" s="32"/>
      <c r="H930" s="32"/>
      <c r="I930" s="32"/>
      <c r="J930" s="32"/>
      <c r="K930" s="32"/>
      <c r="L930" s="32"/>
      <c r="M930" s="32" t="str">
        <f t="shared" si="15"/>
        <v/>
      </c>
      <c r="N930" s="32"/>
    </row>
    <row r="931" spans="1:14" s="36" customFormat="1" ht="14.1" customHeight="1" x14ac:dyDescent="0.25">
      <c r="A931" s="32" t="str">
        <f>IF(B931&lt;&gt;"",_xlfn.TEXTJOIN("-",1,COUNTIF($B$2:$B931,B931),B931:E931),"")</f>
        <v/>
      </c>
      <c r="B931" s="32"/>
      <c r="C931" s="32"/>
      <c r="D931" s="32"/>
      <c r="E931" s="32"/>
      <c r="F931" s="32"/>
      <c r="G931" s="32"/>
      <c r="H931" s="32"/>
      <c r="I931" s="32"/>
      <c r="J931" s="32"/>
      <c r="K931" s="32"/>
      <c r="L931" s="32"/>
      <c r="M931" s="32" t="str">
        <f t="shared" si="15"/>
        <v/>
      </c>
      <c r="N931" s="32"/>
    </row>
    <row r="932" spans="1:14" s="36" customFormat="1" ht="14.1" customHeight="1" x14ac:dyDescent="0.25">
      <c r="A932" s="32" t="str">
        <f>IF(B932&lt;&gt;"",_xlfn.TEXTJOIN("-",1,COUNTIF($B$2:$B932,B932),B932:E932),"")</f>
        <v/>
      </c>
      <c r="B932" s="32"/>
      <c r="C932" s="32"/>
      <c r="D932" s="32"/>
      <c r="E932" s="32"/>
      <c r="F932" s="32"/>
      <c r="G932" s="32"/>
      <c r="H932" s="32"/>
      <c r="I932" s="32"/>
      <c r="J932" s="32"/>
      <c r="K932" s="32"/>
      <c r="L932" s="32"/>
      <c r="M932" s="32" t="str">
        <f t="shared" si="15"/>
        <v/>
      </c>
      <c r="N932" s="32"/>
    </row>
    <row r="933" spans="1:14" s="36" customFormat="1" ht="14.1" customHeight="1" x14ac:dyDescent="0.25">
      <c r="A933" s="32" t="str">
        <f>IF(B933&lt;&gt;"",_xlfn.TEXTJOIN("-",1,COUNTIF($B$2:$B933,B933),B933:E933),"")</f>
        <v/>
      </c>
      <c r="B933" s="32"/>
      <c r="C933" s="32"/>
      <c r="D933" s="32"/>
      <c r="E933" s="32"/>
      <c r="F933" s="32"/>
      <c r="G933" s="32"/>
      <c r="H933" s="32"/>
      <c r="I933" s="32"/>
      <c r="J933" s="32"/>
      <c r="K933" s="32"/>
      <c r="L933" s="32"/>
      <c r="M933" s="32" t="str">
        <f t="shared" si="15"/>
        <v/>
      </c>
      <c r="N933" s="32"/>
    </row>
    <row r="934" spans="1:14" s="36" customFormat="1" ht="14.1" customHeight="1" x14ac:dyDescent="0.25">
      <c r="A934" s="32" t="str">
        <f>IF(B934&lt;&gt;"",_xlfn.TEXTJOIN("-",1,COUNTIF($B$2:$B934,B934),B934:E934),"")</f>
        <v/>
      </c>
      <c r="B934" s="32"/>
      <c r="C934" s="32"/>
      <c r="D934" s="32"/>
      <c r="E934" s="32"/>
      <c r="F934" s="32"/>
      <c r="G934" s="32"/>
      <c r="H934" s="32"/>
      <c r="I934" s="32"/>
      <c r="J934" s="32"/>
      <c r="K934" s="32"/>
      <c r="L934" s="32"/>
      <c r="M934" s="32" t="str">
        <f t="shared" si="15"/>
        <v/>
      </c>
      <c r="N934" s="32"/>
    </row>
    <row r="935" spans="1:14" s="36" customFormat="1" ht="14.1" customHeight="1" x14ac:dyDescent="0.25">
      <c r="A935" s="32" t="str">
        <f>IF(B935&lt;&gt;"",_xlfn.TEXTJOIN("-",1,COUNTIF($B$2:$B935,B935),B935:E935),"")</f>
        <v/>
      </c>
      <c r="B935" s="32"/>
      <c r="C935" s="32"/>
      <c r="D935" s="32"/>
      <c r="E935" s="32"/>
      <c r="F935" s="32"/>
      <c r="G935" s="32"/>
      <c r="H935" s="32"/>
      <c r="I935" s="32"/>
      <c r="J935" s="32"/>
      <c r="K935" s="32"/>
      <c r="L935" s="32"/>
      <c r="M935" s="32" t="str">
        <f t="shared" si="15"/>
        <v/>
      </c>
      <c r="N935" s="32"/>
    </row>
    <row r="936" spans="1:14" s="36" customFormat="1" ht="14.1" customHeight="1" x14ac:dyDescent="0.25">
      <c r="A936" s="32" t="str">
        <f>IF(B936&lt;&gt;"",_xlfn.TEXTJOIN("-",1,COUNTIF($B$2:$B936,B936),B936:E936),"")</f>
        <v/>
      </c>
      <c r="B936" s="32"/>
      <c r="C936" s="32"/>
      <c r="D936" s="32"/>
      <c r="E936" s="32"/>
      <c r="F936" s="32"/>
      <c r="G936" s="32"/>
      <c r="H936" s="32"/>
      <c r="I936" s="32"/>
      <c r="J936" s="32"/>
      <c r="K936" s="32"/>
      <c r="L936" s="32"/>
      <c r="M936" s="32" t="str">
        <f t="shared" si="15"/>
        <v/>
      </c>
      <c r="N936" s="32"/>
    </row>
    <row r="937" spans="1:14" s="36" customFormat="1" ht="14.1" customHeight="1" x14ac:dyDescent="0.25">
      <c r="A937" s="32" t="str">
        <f>IF(B937&lt;&gt;"",_xlfn.TEXTJOIN("-",1,COUNTIF($B$2:$B937,B937),B937:E937),"")</f>
        <v/>
      </c>
      <c r="B937" s="32"/>
      <c r="C937" s="32"/>
      <c r="D937" s="32"/>
      <c r="E937" s="32"/>
      <c r="F937" s="32"/>
      <c r="G937" s="32"/>
      <c r="H937" s="32"/>
      <c r="I937" s="32"/>
      <c r="J937" s="32"/>
      <c r="K937" s="32"/>
      <c r="L937" s="32"/>
      <c r="M937" s="32" t="str">
        <f t="shared" si="15"/>
        <v/>
      </c>
      <c r="N937" s="32"/>
    </row>
    <row r="938" spans="1:14" s="36" customFormat="1" ht="14.1" customHeight="1" x14ac:dyDescent="0.25">
      <c r="A938" s="32" t="str">
        <f>IF(B938&lt;&gt;"",_xlfn.TEXTJOIN("-",1,COUNTIF($B$2:$B938,B938),B938:E938),"")</f>
        <v/>
      </c>
      <c r="B938" s="32"/>
      <c r="C938" s="32"/>
      <c r="D938" s="32"/>
      <c r="E938" s="32"/>
      <c r="F938" s="32"/>
      <c r="G938" s="32"/>
      <c r="H938" s="32"/>
      <c r="I938" s="32"/>
      <c r="J938" s="32"/>
      <c r="K938" s="32"/>
      <c r="L938" s="32"/>
      <c r="M938" s="32" t="str">
        <f t="shared" si="15"/>
        <v/>
      </c>
      <c r="N938" s="32"/>
    </row>
    <row r="939" spans="1:14" s="36" customFormat="1" ht="14.1" customHeight="1" x14ac:dyDescent="0.25">
      <c r="A939" s="32" t="str">
        <f>IF(B939&lt;&gt;"",_xlfn.TEXTJOIN("-",1,COUNTIF($B$2:$B939,B939),B939:E939),"")</f>
        <v/>
      </c>
      <c r="B939" s="32"/>
      <c r="C939" s="32"/>
      <c r="D939" s="32"/>
      <c r="E939" s="32"/>
      <c r="F939" s="32"/>
      <c r="G939" s="32"/>
      <c r="H939" s="32"/>
      <c r="I939" s="32"/>
      <c r="J939" s="32"/>
      <c r="K939" s="32"/>
      <c r="L939" s="32"/>
      <c r="M939" s="32" t="str">
        <f t="shared" si="15"/>
        <v/>
      </c>
      <c r="N939" s="32"/>
    </row>
    <row r="940" spans="1:14" s="36" customFormat="1" ht="14.1" customHeight="1" x14ac:dyDescent="0.25">
      <c r="A940" s="32" t="str">
        <f>IF(B940&lt;&gt;"",_xlfn.TEXTJOIN("-",1,COUNTIF($B$2:$B940,B940),B940:E940),"")</f>
        <v/>
      </c>
      <c r="B940" s="32"/>
      <c r="C940" s="32"/>
      <c r="D940" s="32"/>
      <c r="E940" s="32"/>
      <c r="F940" s="32"/>
      <c r="G940" s="32"/>
      <c r="H940" s="32"/>
      <c r="I940" s="32"/>
      <c r="J940" s="32"/>
      <c r="K940" s="32"/>
      <c r="L940" s="32"/>
      <c r="M940" s="32" t="str">
        <f t="shared" si="15"/>
        <v/>
      </c>
      <c r="N940" s="32"/>
    </row>
    <row r="941" spans="1:14" s="36" customFormat="1" ht="14.1" customHeight="1" x14ac:dyDescent="0.25">
      <c r="A941" s="32" t="str">
        <f>IF(B941&lt;&gt;"",_xlfn.TEXTJOIN("-",1,COUNTIF($B$2:$B941,B941),B941:E941),"")</f>
        <v/>
      </c>
      <c r="B941" s="32"/>
      <c r="C941" s="32"/>
      <c r="D941" s="32"/>
      <c r="E941" s="32"/>
      <c r="F941" s="32"/>
      <c r="G941" s="32"/>
      <c r="H941" s="32"/>
      <c r="I941" s="32"/>
      <c r="J941" s="32"/>
      <c r="K941" s="32"/>
      <c r="L941" s="32"/>
      <c r="M941" s="32" t="str">
        <f t="shared" si="15"/>
        <v/>
      </c>
      <c r="N941" s="32"/>
    </row>
    <row r="942" spans="1:14" s="36" customFormat="1" ht="14.1" customHeight="1" x14ac:dyDescent="0.25">
      <c r="A942" s="32" t="str">
        <f>IF(B942&lt;&gt;"",_xlfn.TEXTJOIN("-",1,COUNTIF($B$2:$B942,B942),B942:E942),"")</f>
        <v/>
      </c>
      <c r="B942" s="32"/>
      <c r="C942" s="32"/>
      <c r="D942" s="32"/>
      <c r="E942" s="32"/>
      <c r="F942" s="32"/>
      <c r="G942" s="32"/>
      <c r="H942" s="32"/>
      <c r="I942" s="32"/>
      <c r="J942" s="32"/>
      <c r="K942" s="32"/>
      <c r="L942" s="32"/>
      <c r="M942" s="32" t="str">
        <f t="shared" si="15"/>
        <v/>
      </c>
      <c r="N942" s="32"/>
    </row>
    <row r="943" spans="1:14" s="36" customFormat="1" ht="14.1" customHeight="1" x14ac:dyDescent="0.25">
      <c r="A943" s="32" t="str">
        <f>IF(B943&lt;&gt;"",_xlfn.TEXTJOIN("-",1,COUNTIF($B$2:$B943,B943),B943:E943),"")</f>
        <v/>
      </c>
      <c r="B943" s="32"/>
      <c r="C943" s="32"/>
      <c r="D943" s="32"/>
      <c r="E943" s="32"/>
      <c r="F943" s="32"/>
      <c r="G943" s="32"/>
      <c r="H943" s="32"/>
      <c r="I943" s="32"/>
      <c r="J943" s="32"/>
      <c r="K943" s="32"/>
      <c r="L943" s="32"/>
      <c r="M943" s="32" t="str">
        <f t="shared" si="15"/>
        <v/>
      </c>
      <c r="N943" s="32"/>
    </row>
    <row r="944" spans="1:14" s="36" customFormat="1" ht="14.1" customHeight="1" x14ac:dyDescent="0.25">
      <c r="A944" s="32" t="str">
        <f>IF(B944&lt;&gt;"",_xlfn.TEXTJOIN("-",1,COUNTIF($B$2:$B944,B944),B944:E944),"")</f>
        <v/>
      </c>
      <c r="B944" s="32"/>
      <c r="C944" s="32"/>
      <c r="D944" s="32"/>
      <c r="E944" s="32"/>
      <c r="F944" s="32"/>
      <c r="G944" s="32"/>
      <c r="H944" s="32"/>
      <c r="I944" s="32"/>
      <c r="J944" s="32"/>
      <c r="K944" s="32"/>
      <c r="L944" s="32"/>
      <c r="M944" s="32" t="str">
        <f t="shared" si="15"/>
        <v/>
      </c>
      <c r="N944" s="32"/>
    </row>
    <row r="945" spans="1:14" s="36" customFormat="1" ht="14.1" customHeight="1" x14ac:dyDescent="0.25">
      <c r="A945" s="32" t="str">
        <f>IF(B945&lt;&gt;"",_xlfn.TEXTJOIN("-",1,COUNTIF($B$2:$B945,B945),B945:E945),"")</f>
        <v/>
      </c>
      <c r="B945" s="32"/>
      <c r="C945" s="32"/>
      <c r="D945" s="32"/>
      <c r="E945" s="32"/>
      <c r="F945" s="32"/>
      <c r="G945" s="32"/>
      <c r="H945" s="32"/>
      <c r="I945" s="32"/>
      <c r="J945" s="32"/>
      <c r="K945" s="32"/>
      <c r="L945" s="32"/>
      <c r="M945" s="32" t="str">
        <f t="shared" si="15"/>
        <v/>
      </c>
      <c r="N945" s="32"/>
    </row>
    <row r="946" spans="1:14" s="36" customFormat="1" ht="14.1" customHeight="1" x14ac:dyDescent="0.25">
      <c r="A946" s="32" t="str">
        <f>IF(B946&lt;&gt;"",_xlfn.TEXTJOIN("-",1,COUNTIF($B$2:$B946,B946),B946:E946),"")</f>
        <v/>
      </c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2"/>
      <c r="M946" s="32" t="str">
        <f t="shared" si="15"/>
        <v/>
      </c>
      <c r="N946" s="32"/>
    </row>
    <row r="947" spans="1:14" s="36" customFormat="1" ht="14.1" customHeight="1" x14ac:dyDescent="0.25">
      <c r="A947" s="32" t="str">
        <f>IF(B947&lt;&gt;"",_xlfn.TEXTJOIN("-",1,COUNTIF($B$2:$B947,B947),B947:E947),"")</f>
        <v/>
      </c>
      <c r="B947" s="32"/>
      <c r="C947" s="32"/>
      <c r="D947" s="32"/>
      <c r="E947" s="32"/>
      <c r="F947" s="32"/>
      <c r="G947" s="32"/>
      <c r="H947" s="32"/>
      <c r="I947" s="32"/>
      <c r="J947" s="32"/>
      <c r="K947" s="32"/>
      <c r="L947" s="32"/>
      <c r="M947" s="32" t="str">
        <f t="shared" si="15"/>
        <v/>
      </c>
      <c r="N947" s="32"/>
    </row>
    <row r="948" spans="1:14" s="36" customFormat="1" ht="14.1" customHeight="1" x14ac:dyDescent="0.25">
      <c r="A948" s="32" t="str">
        <f>IF(B948&lt;&gt;"",_xlfn.TEXTJOIN("-",1,COUNTIF($B$2:$B948,B948),B948:E948),"")</f>
        <v/>
      </c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2"/>
      <c r="M948" s="32" t="str">
        <f t="shared" si="15"/>
        <v/>
      </c>
      <c r="N948" s="32"/>
    </row>
    <row r="949" spans="1:14" s="36" customFormat="1" ht="14.1" customHeight="1" x14ac:dyDescent="0.25">
      <c r="A949" s="32" t="str">
        <f>IF(B949&lt;&gt;"",_xlfn.TEXTJOIN("-",1,COUNTIF($B$2:$B949,B949),B949:E949),"")</f>
        <v/>
      </c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2"/>
      <c r="M949" s="32" t="str">
        <f t="shared" si="15"/>
        <v/>
      </c>
      <c r="N949" s="32"/>
    </row>
    <row r="950" spans="1:14" s="36" customFormat="1" ht="14.1" customHeight="1" x14ac:dyDescent="0.25">
      <c r="A950" s="32" t="str">
        <f>IF(B950&lt;&gt;"",_xlfn.TEXTJOIN("-",1,COUNTIF($B$2:$B950,B950),B950:E950),"")</f>
        <v/>
      </c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2"/>
      <c r="M950" s="32" t="str">
        <f t="shared" si="15"/>
        <v/>
      </c>
      <c r="N950" s="32"/>
    </row>
    <row r="951" spans="1:14" s="36" customFormat="1" ht="14.1" customHeight="1" x14ac:dyDescent="0.25">
      <c r="A951" s="32" t="str">
        <f>IF(B951&lt;&gt;"",_xlfn.TEXTJOIN("-",1,COUNTIF($B$2:$B951,B951),B951:E951),"")</f>
        <v/>
      </c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2"/>
      <c r="M951" s="32" t="str">
        <f t="shared" si="15"/>
        <v/>
      </c>
      <c r="N951" s="32"/>
    </row>
    <row r="952" spans="1:14" s="36" customFormat="1" ht="14.1" customHeight="1" x14ac:dyDescent="0.25">
      <c r="A952" s="32" t="str">
        <f>IF(B952&lt;&gt;"",_xlfn.TEXTJOIN("-",1,COUNTIF($B$2:$B952,B952),B952:E952),"")</f>
        <v/>
      </c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2"/>
      <c r="M952" s="32" t="str">
        <f t="shared" si="15"/>
        <v/>
      </c>
      <c r="N952" s="32"/>
    </row>
    <row r="953" spans="1:14" s="36" customFormat="1" ht="14.1" customHeight="1" x14ac:dyDescent="0.25">
      <c r="A953" s="32" t="str">
        <f>IF(B953&lt;&gt;"",_xlfn.TEXTJOIN("-",1,COUNTIF($B$2:$B953,B953),B953:E953),"")</f>
        <v/>
      </c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2"/>
      <c r="M953" s="32" t="str">
        <f t="shared" si="15"/>
        <v/>
      </c>
      <c r="N953" s="32"/>
    </row>
    <row r="954" spans="1:14" s="36" customFormat="1" ht="14.1" customHeight="1" x14ac:dyDescent="0.25">
      <c r="A954" s="32" t="str">
        <f>IF(B954&lt;&gt;"",_xlfn.TEXTJOIN("-",1,COUNTIF($B$2:$B954,B954),B954:E954),"")</f>
        <v/>
      </c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2"/>
      <c r="M954" s="32" t="str">
        <f t="shared" si="15"/>
        <v/>
      </c>
      <c r="N954" s="32"/>
    </row>
    <row r="955" spans="1:14" s="36" customFormat="1" ht="14.1" customHeight="1" x14ac:dyDescent="0.25">
      <c r="A955" s="32" t="str">
        <f>IF(B955&lt;&gt;"",_xlfn.TEXTJOIN("-",1,COUNTIF($B$2:$B955,B955),B955:E955),"")</f>
        <v/>
      </c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2"/>
      <c r="M955" s="32" t="str">
        <f t="shared" si="15"/>
        <v/>
      </c>
      <c r="N955" s="32"/>
    </row>
    <row r="956" spans="1:14" s="36" customFormat="1" ht="14.1" customHeight="1" x14ac:dyDescent="0.25">
      <c r="A956" s="32" t="str">
        <f>IF(B956&lt;&gt;"",_xlfn.TEXTJOIN("-",1,COUNTIF($B$2:$B956,B956),B956:E956),"")</f>
        <v/>
      </c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2"/>
      <c r="M956" s="32" t="str">
        <f t="shared" si="15"/>
        <v/>
      </c>
      <c r="N956" s="32"/>
    </row>
    <row r="957" spans="1:14" s="36" customFormat="1" ht="14.1" customHeight="1" x14ac:dyDescent="0.25">
      <c r="A957" s="32" t="str">
        <f>IF(B957&lt;&gt;"",_xlfn.TEXTJOIN("-",1,COUNTIF($B$2:$B957,B957),B957:E957),"")</f>
        <v/>
      </c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2"/>
      <c r="M957" s="32" t="str">
        <f t="shared" si="15"/>
        <v/>
      </c>
      <c r="N957" s="32"/>
    </row>
    <row r="958" spans="1:14" s="36" customFormat="1" ht="14.1" customHeight="1" x14ac:dyDescent="0.25">
      <c r="A958" s="32" t="str">
        <f>IF(B958&lt;&gt;"",_xlfn.TEXTJOIN("-",1,COUNTIF($B$2:$B958,B958),B958:E958),"")</f>
        <v/>
      </c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2"/>
      <c r="M958" s="32" t="str">
        <f t="shared" si="15"/>
        <v/>
      </c>
      <c r="N958" s="32"/>
    </row>
    <row r="959" spans="1:14" s="36" customFormat="1" ht="14.1" customHeight="1" x14ac:dyDescent="0.25">
      <c r="A959" s="32" t="str">
        <f>IF(B959&lt;&gt;"",_xlfn.TEXTJOIN("-",1,COUNTIF($B$2:$B959,B959),B959:E959),"")</f>
        <v/>
      </c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2"/>
      <c r="M959" s="32" t="str">
        <f t="shared" si="15"/>
        <v/>
      </c>
      <c r="N959" s="32"/>
    </row>
    <row r="960" spans="1:14" s="36" customFormat="1" ht="14.1" customHeight="1" x14ac:dyDescent="0.25">
      <c r="A960" s="32" t="str">
        <f>IF(B960&lt;&gt;"",_xlfn.TEXTJOIN("-",1,COUNTIF($B$2:$B960,B960),B960:E960),"")</f>
        <v/>
      </c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2"/>
      <c r="M960" s="32" t="str">
        <f t="shared" si="15"/>
        <v/>
      </c>
      <c r="N960" s="32"/>
    </row>
    <row r="961" spans="1:14" s="36" customFormat="1" ht="14.1" customHeight="1" x14ac:dyDescent="0.25">
      <c r="A961" s="32" t="str">
        <f>IF(B961&lt;&gt;"",_xlfn.TEXTJOIN("-",1,COUNTIF($B$2:$B961,B961),B961:E961),"")</f>
        <v/>
      </c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2"/>
      <c r="M961" s="32" t="str">
        <f t="shared" si="15"/>
        <v/>
      </c>
      <c r="N961" s="32"/>
    </row>
    <row r="962" spans="1:14" s="36" customFormat="1" ht="14.1" customHeight="1" x14ac:dyDescent="0.25">
      <c r="A962" s="32" t="str">
        <f>IF(B962&lt;&gt;"",_xlfn.TEXTJOIN("-",1,COUNTIF($B$2:$B962,B962),B962:E962),"")</f>
        <v/>
      </c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2"/>
      <c r="M962" s="32" t="str">
        <f t="shared" si="15"/>
        <v/>
      </c>
      <c r="N962" s="32"/>
    </row>
    <row r="963" spans="1:14" s="36" customFormat="1" ht="14.1" customHeight="1" x14ac:dyDescent="0.25">
      <c r="A963" s="32" t="str">
        <f>IF(B963&lt;&gt;"",_xlfn.TEXTJOIN("-",1,COUNTIF($B$2:$B963,B963),B963:E963),"")</f>
        <v/>
      </c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2"/>
      <c r="M963" s="32" t="str">
        <f t="shared" ref="M963:M1001" si="16">IF(B963="FN",_xlfn.CONCAT("egor.v.ivanov+",LEFT(C963,1),"_",LEFT(D963,2),"_",E963,"@outlook.com"),"")</f>
        <v/>
      </c>
      <c r="N963" s="32"/>
    </row>
    <row r="964" spans="1:14" s="36" customFormat="1" ht="14.1" customHeight="1" x14ac:dyDescent="0.25">
      <c r="A964" s="32" t="str">
        <f>IF(B964&lt;&gt;"",_xlfn.TEXTJOIN("-",1,COUNTIF($B$2:$B964,B964),B964:E964),"")</f>
        <v/>
      </c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2"/>
      <c r="M964" s="32" t="str">
        <f t="shared" si="16"/>
        <v/>
      </c>
      <c r="N964" s="32"/>
    </row>
    <row r="965" spans="1:14" s="36" customFormat="1" ht="14.1" customHeight="1" x14ac:dyDescent="0.25">
      <c r="A965" s="32" t="str">
        <f>IF(B965&lt;&gt;"",_xlfn.TEXTJOIN("-",1,COUNTIF($B$2:$B965,B965),B965:E965),"")</f>
        <v/>
      </c>
      <c r="B965" s="32"/>
      <c r="C965" s="32"/>
      <c r="D965" s="32"/>
      <c r="E965" s="32"/>
      <c r="F965" s="32"/>
      <c r="G965" s="32"/>
      <c r="H965" s="32"/>
      <c r="I965" s="32"/>
      <c r="J965" s="32"/>
      <c r="K965" s="32"/>
      <c r="L965" s="32"/>
      <c r="M965" s="32" t="str">
        <f t="shared" si="16"/>
        <v/>
      </c>
      <c r="N965" s="32"/>
    </row>
    <row r="966" spans="1:14" s="36" customFormat="1" ht="14.1" customHeight="1" x14ac:dyDescent="0.25">
      <c r="A966" s="32" t="str">
        <f>IF(B966&lt;&gt;"",_xlfn.TEXTJOIN("-",1,COUNTIF($B$2:$B966,B966),B966:E966),"")</f>
        <v/>
      </c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2"/>
      <c r="M966" s="32" t="str">
        <f t="shared" si="16"/>
        <v/>
      </c>
      <c r="N966" s="32"/>
    </row>
    <row r="967" spans="1:14" s="36" customFormat="1" ht="14.1" customHeight="1" x14ac:dyDescent="0.25">
      <c r="A967" s="32" t="str">
        <f>IF(B967&lt;&gt;"",_xlfn.TEXTJOIN("-",1,COUNTIF($B$2:$B967,B967),B967:E967),"")</f>
        <v/>
      </c>
      <c r="B967" s="32"/>
      <c r="C967" s="32"/>
      <c r="D967" s="32"/>
      <c r="E967" s="32"/>
      <c r="F967" s="32"/>
      <c r="G967" s="32"/>
      <c r="H967" s="32"/>
      <c r="I967" s="32"/>
      <c r="J967" s="32"/>
      <c r="K967" s="32"/>
      <c r="L967" s="32"/>
      <c r="M967" s="32" t="str">
        <f t="shared" si="16"/>
        <v/>
      </c>
      <c r="N967" s="32"/>
    </row>
    <row r="968" spans="1:14" s="36" customFormat="1" ht="14.1" customHeight="1" x14ac:dyDescent="0.25">
      <c r="A968" s="32" t="str">
        <f>IF(B968&lt;&gt;"",_xlfn.TEXTJOIN("-",1,COUNTIF($B$2:$B968,B968),B968:E968),"")</f>
        <v/>
      </c>
      <c r="B968" s="32"/>
      <c r="C968" s="32"/>
      <c r="D968" s="32"/>
      <c r="E968" s="32"/>
      <c r="F968" s="32"/>
      <c r="G968" s="32"/>
      <c r="H968" s="32"/>
      <c r="I968" s="32"/>
      <c r="J968" s="32"/>
      <c r="K968" s="32"/>
      <c r="L968" s="32"/>
      <c r="M968" s="32" t="str">
        <f t="shared" si="16"/>
        <v/>
      </c>
      <c r="N968" s="32"/>
    </row>
    <row r="969" spans="1:14" s="36" customFormat="1" ht="14.1" customHeight="1" x14ac:dyDescent="0.25">
      <c r="A969" s="32" t="str">
        <f>IF(B969&lt;&gt;"",_xlfn.TEXTJOIN("-",1,COUNTIF($B$2:$B969,B969),B969:E969),"")</f>
        <v/>
      </c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2"/>
      <c r="M969" s="32" t="str">
        <f t="shared" si="16"/>
        <v/>
      </c>
      <c r="N969" s="32"/>
    </row>
    <row r="970" spans="1:14" s="36" customFormat="1" ht="14.1" customHeight="1" x14ac:dyDescent="0.25">
      <c r="A970" s="32" t="str">
        <f>IF(B970&lt;&gt;"",_xlfn.TEXTJOIN("-",1,COUNTIF($B$2:$B970,B970),B970:E970),"")</f>
        <v/>
      </c>
      <c r="B970" s="32"/>
      <c r="C970" s="32"/>
      <c r="D970" s="32"/>
      <c r="E970" s="32"/>
      <c r="F970" s="32"/>
      <c r="G970" s="32"/>
      <c r="H970" s="32"/>
      <c r="I970" s="32"/>
      <c r="J970" s="32"/>
      <c r="K970" s="32"/>
      <c r="L970" s="32"/>
      <c r="M970" s="32" t="str">
        <f t="shared" si="16"/>
        <v/>
      </c>
      <c r="N970" s="32"/>
    </row>
    <row r="971" spans="1:14" s="36" customFormat="1" ht="14.1" customHeight="1" x14ac:dyDescent="0.25">
      <c r="A971" s="32" t="str">
        <f>IF(B971&lt;&gt;"",_xlfn.TEXTJOIN("-",1,COUNTIF($B$2:$B971,B971),B971:E971),"")</f>
        <v/>
      </c>
      <c r="B971" s="32"/>
      <c r="C971" s="32"/>
      <c r="D971" s="32"/>
      <c r="E971" s="32"/>
      <c r="F971" s="32"/>
      <c r="G971" s="32"/>
      <c r="H971" s="32"/>
      <c r="I971" s="32"/>
      <c r="J971" s="32"/>
      <c r="K971" s="32"/>
      <c r="L971" s="32"/>
      <c r="M971" s="32" t="str">
        <f t="shared" si="16"/>
        <v/>
      </c>
      <c r="N971" s="32"/>
    </row>
    <row r="972" spans="1:14" s="36" customFormat="1" ht="14.1" customHeight="1" x14ac:dyDescent="0.25">
      <c r="A972" s="32" t="str">
        <f>IF(B972&lt;&gt;"",_xlfn.TEXTJOIN("-",1,COUNTIF($B$2:$B972,B972),B972:E972),"")</f>
        <v/>
      </c>
      <c r="B972" s="32"/>
      <c r="C972" s="32"/>
      <c r="D972" s="32"/>
      <c r="E972" s="32"/>
      <c r="F972" s="32"/>
      <c r="G972" s="32"/>
      <c r="H972" s="32"/>
      <c r="I972" s="32"/>
      <c r="J972" s="32"/>
      <c r="K972" s="32"/>
      <c r="L972" s="32"/>
      <c r="M972" s="32" t="str">
        <f t="shared" si="16"/>
        <v/>
      </c>
      <c r="N972" s="32"/>
    </row>
    <row r="973" spans="1:14" s="36" customFormat="1" ht="14.1" customHeight="1" x14ac:dyDescent="0.25">
      <c r="A973" s="32" t="str">
        <f>IF(B973&lt;&gt;"",_xlfn.TEXTJOIN("-",1,COUNTIF($B$2:$B973,B973),B973:E973),"")</f>
        <v/>
      </c>
      <c r="B973" s="32"/>
      <c r="C973" s="32"/>
      <c r="D973" s="32"/>
      <c r="E973" s="32"/>
      <c r="F973" s="32"/>
      <c r="G973" s="32"/>
      <c r="H973" s="32"/>
      <c r="I973" s="32"/>
      <c r="J973" s="32"/>
      <c r="K973" s="32"/>
      <c r="L973" s="32"/>
      <c r="M973" s="32" t="str">
        <f t="shared" si="16"/>
        <v/>
      </c>
      <c r="N973" s="32"/>
    </row>
    <row r="974" spans="1:14" s="36" customFormat="1" ht="14.1" customHeight="1" x14ac:dyDescent="0.25">
      <c r="A974" s="32" t="str">
        <f>IF(B974&lt;&gt;"",_xlfn.TEXTJOIN("-",1,COUNTIF($B$2:$B974,B974),B974:E974),"")</f>
        <v/>
      </c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2"/>
      <c r="M974" s="32" t="str">
        <f t="shared" si="16"/>
        <v/>
      </c>
      <c r="N974" s="32"/>
    </row>
    <row r="975" spans="1:14" s="36" customFormat="1" ht="14.1" customHeight="1" x14ac:dyDescent="0.25">
      <c r="A975" s="32" t="str">
        <f>IF(B975&lt;&gt;"",_xlfn.TEXTJOIN("-",1,COUNTIF($B$2:$B975,B975),B975:E975),"")</f>
        <v/>
      </c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2"/>
      <c r="M975" s="32" t="str">
        <f t="shared" si="16"/>
        <v/>
      </c>
      <c r="N975" s="32"/>
    </row>
    <row r="976" spans="1:14" s="36" customFormat="1" ht="14.1" customHeight="1" x14ac:dyDescent="0.25">
      <c r="A976" s="32" t="str">
        <f>IF(B976&lt;&gt;"",_xlfn.TEXTJOIN("-",1,COUNTIF($B$2:$B976,B976),B976:E976),"")</f>
        <v/>
      </c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2"/>
      <c r="M976" s="32" t="str">
        <f t="shared" si="16"/>
        <v/>
      </c>
      <c r="N976" s="32"/>
    </row>
    <row r="977" spans="1:14" s="36" customFormat="1" ht="14.1" customHeight="1" x14ac:dyDescent="0.25">
      <c r="A977" s="32" t="str">
        <f>IF(B977&lt;&gt;"",_xlfn.TEXTJOIN("-",1,COUNTIF($B$2:$B977,B977),B977:E977),"")</f>
        <v/>
      </c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2"/>
      <c r="M977" s="32" t="str">
        <f t="shared" si="16"/>
        <v/>
      </c>
      <c r="N977" s="32"/>
    </row>
    <row r="978" spans="1:14" s="36" customFormat="1" ht="14.1" customHeight="1" x14ac:dyDescent="0.25">
      <c r="A978" s="32" t="str">
        <f>IF(B978&lt;&gt;"",_xlfn.TEXTJOIN("-",1,COUNTIF($B$2:$B978,B978),B978:E978),"")</f>
        <v/>
      </c>
      <c r="B978" s="32"/>
      <c r="C978" s="32"/>
      <c r="D978" s="32"/>
      <c r="E978" s="32"/>
      <c r="F978" s="32"/>
      <c r="G978" s="32"/>
      <c r="H978" s="32"/>
      <c r="I978" s="32"/>
      <c r="J978" s="32"/>
      <c r="K978" s="32"/>
      <c r="L978" s="32"/>
      <c r="M978" s="32" t="str">
        <f t="shared" si="16"/>
        <v/>
      </c>
      <c r="N978" s="32"/>
    </row>
    <row r="979" spans="1:14" s="36" customFormat="1" ht="14.1" customHeight="1" x14ac:dyDescent="0.25">
      <c r="A979" s="32" t="str">
        <f>IF(B979&lt;&gt;"",_xlfn.TEXTJOIN("-",1,COUNTIF($B$2:$B979,B979),B979:E979),"")</f>
        <v/>
      </c>
      <c r="B979" s="32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 t="str">
        <f t="shared" si="16"/>
        <v/>
      </c>
      <c r="N979" s="32"/>
    </row>
    <row r="980" spans="1:14" s="36" customFormat="1" ht="14.1" customHeight="1" x14ac:dyDescent="0.25">
      <c r="A980" s="32" t="str">
        <f>IF(B980&lt;&gt;"",_xlfn.TEXTJOIN("-",1,COUNTIF($B$2:$B980,B980),B980:E980),"")</f>
        <v/>
      </c>
      <c r="B980" s="32"/>
      <c r="C980" s="32"/>
      <c r="D980" s="32"/>
      <c r="E980" s="32"/>
      <c r="F980" s="32"/>
      <c r="G980" s="32"/>
      <c r="H980" s="32"/>
      <c r="I980" s="32"/>
      <c r="J980" s="32"/>
      <c r="K980" s="32"/>
      <c r="L980" s="32"/>
      <c r="M980" s="32" t="str">
        <f t="shared" si="16"/>
        <v/>
      </c>
      <c r="N980" s="32"/>
    </row>
    <row r="981" spans="1:14" s="36" customFormat="1" ht="14.1" customHeight="1" x14ac:dyDescent="0.25">
      <c r="A981" s="32" t="str">
        <f>IF(B981&lt;&gt;"",_xlfn.TEXTJOIN("-",1,COUNTIF($B$2:$B981,B981),B981:E981),"")</f>
        <v/>
      </c>
      <c r="B981" s="32"/>
      <c r="C981" s="32"/>
      <c r="D981" s="32"/>
      <c r="E981" s="32"/>
      <c r="F981" s="32"/>
      <c r="G981" s="32"/>
      <c r="H981" s="32"/>
      <c r="I981" s="32"/>
      <c r="J981" s="32"/>
      <c r="K981" s="32"/>
      <c r="L981" s="32"/>
      <c r="M981" s="32" t="str">
        <f t="shared" si="16"/>
        <v/>
      </c>
      <c r="N981" s="32"/>
    </row>
    <row r="982" spans="1:14" s="36" customFormat="1" ht="14.1" customHeight="1" x14ac:dyDescent="0.25">
      <c r="A982" s="32" t="str">
        <f>IF(B982&lt;&gt;"",_xlfn.TEXTJOIN("-",1,COUNTIF($B$2:$B982,B982),B982:E982),"")</f>
        <v/>
      </c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2"/>
      <c r="M982" s="32" t="str">
        <f t="shared" si="16"/>
        <v/>
      </c>
      <c r="N982" s="32"/>
    </row>
    <row r="983" spans="1:14" s="36" customFormat="1" ht="14.1" customHeight="1" x14ac:dyDescent="0.25">
      <c r="A983" s="32" t="str">
        <f>IF(B983&lt;&gt;"",_xlfn.TEXTJOIN("-",1,COUNTIF($B$2:$B983,B983),B983:E983),"")</f>
        <v/>
      </c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2"/>
      <c r="M983" s="32" t="str">
        <f t="shared" si="16"/>
        <v/>
      </c>
      <c r="N983" s="32"/>
    </row>
    <row r="984" spans="1:14" s="36" customFormat="1" ht="14.1" customHeight="1" x14ac:dyDescent="0.25">
      <c r="A984" s="32" t="str">
        <f>IF(B984&lt;&gt;"",_xlfn.TEXTJOIN("-",1,COUNTIF($B$2:$B984,B984),B984:E984),"")</f>
        <v/>
      </c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2"/>
      <c r="M984" s="32" t="str">
        <f t="shared" si="16"/>
        <v/>
      </c>
      <c r="N984" s="32"/>
    </row>
    <row r="985" spans="1:14" s="36" customFormat="1" ht="14.1" customHeight="1" x14ac:dyDescent="0.25">
      <c r="A985" s="32" t="str">
        <f>IF(B985&lt;&gt;"",_xlfn.TEXTJOIN("-",1,COUNTIF($B$2:$B985,B985),B985:E985),"")</f>
        <v/>
      </c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2"/>
      <c r="M985" s="32" t="str">
        <f t="shared" si="16"/>
        <v/>
      </c>
      <c r="N985" s="32"/>
    </row>
    <row r="986" spans="1:14" s="36" customFormat="1" ht="14.1" customHeight="1" x14ac:dyDescent="0.25">
      <c r="A986" s="32" t="str">
        <f>IF(B986&lt;&gt;"",_xlfn.TEXTJOIN("-",1,COUNTIF($B$2:$B986,B986),B986:E986),"")</f>
        <v/>
      </c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2"/>
      <c r="M986" s="32" t="str">
        <f t="shared" si="16"/>
        <v/>
      </c>
      <c r="N986" s="32"/>
    </row>
    <row r="987" spans="1:14" s="36" customFormat="1" ht="14.1" customHeight="1" x14ac:dyDescent="0.25">
      <c r="A987" s="32" t="str">
        <f>IF(B987&lt;&gt;"",_xlfn.TEXTJOIN("-",1,COUNTIF($B$2:$B987,B987),B987:E987),"")</f>
        <v/>
      </c>
      <c r="B987" s="32"/>
      <c r="C987" s="32"/>
      <c r="D987" s="32"/>
      <c r="E987" s="32"/>
      <c r="F987" s="32"/>
      <c r="G987" s="32"/>
      <c r="H987" s="32"/>
      <c r="I987" s="32"/>
      <c r="J987" s="32"/>
      <c r="K987" s="32"/>
      <c r="L987" s="32"/>
      <c r="M987" s="32" t="str">
        <f t="shared" si="16"/>
        <v/>
      </c>
      <c r="N987" s="32"/>
    </row>
    <row r="988" spans="1:14" s="36" customFormat="1" ht="14.1" customHeight="1" x14ac:dyDescent="0.25">
      <c r="A988" s="32" t="str">
        <f>IF(B988&lt;&gt;"",_xlfn.TEXTJOIN("-",1,COUNTIF($B$2:$B988,B988),B988:E988),"")</f>
        <v/>
      </c>
      <c r="B988" s="32"/>
      <c r="C988" s="32"/>
      <c r="D988" s="32"/>
      <c r="E988" s="32"/>
      <c r="F988" s="32"/>
      <c r="G988" s="32"/>
      <c r="H988" s="32"/>
      <c r="I988" s="32"/>
      <c r="J988" s="32"/>
      <c r="K988" s="32"/>
      <c r="L988" s="32"/>
      <c r="M988" s="32" t="str">
        <f t="shared" si="16"/>
        <v/>
      </c>
      <c r="N988" s="32"/>
    </row>
    <row r="989" spans="1:14" s="36" customFormat="1" ht="14.1" customHeight="1" x14ac:dyDescent="0.25">
      <c r="A989" s="32" t="str">
        <f>IF(B989&lt;&gt;"",_xlfn.TEXTJOIN("-",1,COUNTIF($B$2:$B989,B989),B989:E989),"")</f>
        <v/>
      </c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2"/>
      <c r="M989" s="32" t="str">
        <f t="shared" si="16"/>
        <v/>
      </c>
      <c r="N989" s="32"/>
    </row>
    <row r="990" spans="1:14" s="36" customFormat="1" ht="14.1" customHeight="1" x14ac:dyDescent="0.25">
      <c r="A990" s="32" t="str">
        <f>IF(B990&lt;&gt;"",_xlfn.TEXTJOIN("-",1,COUNTIF($B$2:$B990,B990),B990:E990),"")</f>
        <v/>
      </c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2"/>
      <c r="M990" s="32" t="str">
        <f t="shared" si="16"/>
        <v/>
      </c>
      <c r="N990" s="32"/>
    </row>
    <row r="991" spans="1:14" s="36" customFormat="1" ht="14.1" customHeight="1" x14ac:dyDescent="0.25">
      <c r="A991" s="32" t="str">
        <f>IF(B991&lt;&gt;"",_xlfn.TEXTJOIN("-",1,COUNTIF($B$2:$B991,B991),B991:E991),"")</f>
        <v/>
      </c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2"/>
      <c r="M991" s="32" t="str">
        <f t="shared" si="16"/>
        <v/>
      </c>
      <c r="N991" s="32"/>
    </row>
    <row r="992" spans="1:14" s="36" customFormat="1" ht="14.1" customHeight="1" x14ac:dyDescent="0.25">
      <c r="A992" s="32" t="str">
        <f>IF(B992&lt;&gt;"",_xlfn.TEXTJOIN("-",1,COUNTIF($B$2:$B992,B992),B992:E992),"")</f>
        <v/>
      </c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2"/>
      <c r="M992" s="32" t="str">
        <f t="shared" si="16"/>
        <v/>
      </c>
      <c r="N992" s="32"/>
    </row>
    <row r="993" spans="1:14" s="36" customFormat="1" ht="14.1" customHeight="1" x14ac:dyDescent="0.25">
      <c r="A993" s="32" t="str">
        <f>IF(B993&lt;&gt;"",_xlfn.TEXTJOIN("-",1,COUNTIF($B$2:$B993,B993),B993:E993),"")</f>
        <v/>
      </c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2"/>
      <c r="M993" s="32" t="str">
        <f t="shared" si="16"/>
        <v/>
      </c>
      <c r="N993" s="32"/>
    </row>
    <row r="994" spans="1:14" s="36" customFormat="1" ht="14.1" customHeight="1" x14ac:dyDescent="0.25">
      <c r="A994" s="32" t="str">
        <f>IF(B994&lt;&gt;"",_xlfn.TEXTJOIN("-",1,COUNTIF($B$2:$B994,B994),B994:E994),"")</f>
        <v/>
      </c>
      <c r="B994" s="32"/>
      <c r="C994" s="32"/>
      <c r="D994" s="32"/>
      <c r="E994" s="32"/>
      <c r="F994" s="32"/>
      <c r="G994" s="32"/>
      <c r="H994" s="32"/>
      <c r="I994" s="32"/>
      <c r="J994" s="32"/>
      <c r="K994" s="32"/>
      <c r="L994" s="32"/>
      <c r="M994" s="32" t="str">
        <f t="shared" si="16"/>
        <v/>
      </c>
      <c r="N994" s="32"/>
    </row>
    <row r="995" spans="1:14" s="36" customFormat="1" ht="14.1" customHeight="1" x14ac:dyDescent="0.25">
      <c r="A995" s="32" t="str">
        <f>IF(B995&lt;&gt;"",_xlfn.TEXTJOIN("-",1,COUNTIF($B$2:$B995,B995),B995:E995),"")</f>
        <v/>
      </c>
      <c r="B995" s="32"/>
      <c r="C995" s="32"/>
      <c r="D995" s="32"/>
      <c r="E995" s="32"/>
      <c r="F995" s="32"/>
      <c r="G995" s="32"/>
      <c r="H995" s="32"/>
      <c r="I995" s="32"/>
      <c r="J995" s="32"/>
      <c r="K995" s="32"/>
      <c r="L995" s="32"/>
      <c r="M995" s="32" t="str">
        <f t="shared" si="16"/>
        <v/>
      </c>
      <c r="N995" s="32"/>
    </row>
    <row r="996" spans="1:14" s="36" customFormat="1" ht="14.1" customHeight="1" x14ac:dyDescent="0.25">
      <c r="A996" s="32" t="str">
        <f>IF(B996&lt;&gt;"",_xlfn.TEXTJOIN("-",1,COUNTIF($B$2:$B996,B996),B996:E996),"")</f>
        <v/>
      </c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2"/>
      <c r="M996" s="32" t="str">
        <f t="shared" si="16"/>
        <v/>
      </c>
      <c r="N996" s="32"/>
    </row>
    <row r="997" spans="1:14" s="36" customFormat="1" ht="14.1" customHeight="1" x14ac:dyDescent="0.25">
      <c r="A997" s="32" t="str">
        <f>IF(B997&lt;&gt;"",_xlfn.TEXTJOIN("-",1,COUNTIF($B$2:$B997,B997),B997:E997),"")</f>
        <v/>
      </c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2"/>
      <c r="M997" s="32" t="str">
        <f t="shared" si="16"/>
        <v/>
      </c>
      <c r="N997" s="32"/>
    </row>
    <row r="998" spans="1:14" s="36" customFormat="1" ht="14.1" customHeight="1" x14ac:dyDescent="0.25">
      <c r="A998" s="32" t="str">
        <f>IF(B998&lt;&gt;"",_xlfn.TEXTJOIN("-",1,COUNTIF($B$2:$B998,B998),B998:E998),"")</f>
        <v/>
      </c>
      <c r="B998" s="32"/>
      <c r="C998" s="32"/>
      <c r="D998" s="32"/>
      <c r="E998" s="32"/>
      <c r="F998" s="32"/>
      <c r="G998" s="32"/>
      <c r="H998" s="32"/>
      <c r="I998" s="32"/>
      <c r="J998" s="32"/>
      <c r="K998" s="32"/>
      <c r="L998" s="32"/>
      <c r="M998" s="32" t="str">
        <f t="shared" si="16"/>
        <v/>
      </c>
      <c r="N998" s="32"/>
    </row>
    <row r="999" spans="1:14" s="36" customFormat="1" ht="14.1" customHeight="1" x14ac:dyDescent="0.25">
      <c r="A999" s="32" t="str">
        <f>IF(B999&lt;&gt;"",_xlfn.TEXTJOIN("-",1,COUNTIF($B$2:$B999,B999),B999:E999),"")</f>
        <v/>
      </c>
      <c r="B999" s="32"/>
      <c r="C999" s="32"/>
      <c r="D999" s="32"/>
      <c r="E999" s="32"/>
      <c r="F999" s="32"/>
      <c r="G999" s="32"/>
      <c r="H999" s="32"/>
      <c r="I999" s="32"/>
      <c r="J999" s="32"/>
      <c r="K999" s="32"/>
      <c r="L999" s="32"/>
      <c r="M999" s="32" t="str">
        <f t="shared" si="16"/>
        <v/>
      </c>
      <c r="N999" s="32"/>
    </row>
    <row r="1000" spans="1:14" s="36" customFormat="1" ht="14.1" customHeight="1" x14ac:dyDescent="0.25">
      <c r="A1000" s="32" t="str">
        <f>IF(B1000&lt;&gt;"",_xlfn.TEXTJOIN("-",1,COUNTIF($B$2:$B1000,B1000),B1000:E1000),"")</f>
        <v/>
      </c>
      <c r="B1000" s="32"/>
      <c r="C1000" s="32"/>
      <c r="D1000" s="32"/>
      <c r="E1000" s="32"/>
      <c r="F1000" s="32"/>
      <c r="G1000" s="32"/>
      <c r="H1000" s="32"/>
      <c r="I1000" s="32"/>
      <c r="J1000" s="32"/>
      <c r="K1000" s="32"/>
      <c r="L1000" s="32"/>
      <c r="M1000" s="32" t="str">
        <f t="shared" si="16"/>
        <v/>
      </c>
      <c r="N1000" s="32"/>
    </row>
    <row r="1001" spans="1:14" s="36" customFormat="1" ht="14.1" customHeight="1" x14ac:dyDescent="0.25">
      <c r="A1001" s="32" t="str">
        <f>IF(B1001&lt;&gt;"",_xlfn.TEXTJOIN("-",1,COUNTIF($B$2:$B1001,B1001),B1001:E1001),"")</f>
        <v/>
      </c>
      <c r="B1001" s="32"/>
      <c r="C1001" s="32"/>
      <c r="D1001" s="32"/>
      <c r="E1001" s="32"/>
      <c r="F1001" s="32"/>
      <c r="G1001" s="32"/>
      <c r="H1001" s="32"/>
      <c r="I1001" s="32"/>
      <c r="J1001" s="32"/>
      <c r="K1001" s="32"/>
      <c r="L1001" s="32"/>
      <c r="M1001" s="32" t="str">
        <f t="shared" si="16"/>
        <v/>
      </c>
      <c r="N1001" s="32"/>
    </row>
  </sheetData>
  <dataConsolidate/>
  <conditionalFormatting sqref="A2:K1001">
    <cfRule type="expression" dxfId="2" priority="1">
      <formula>$K2:$K1001="Passed"</formula>
    </cfRule>
    <cfRule type="expression" dxfId="1" priority="2">
      <formula>$K2:$K1001="Failed"</formula>
    </cfRule>
    <cfRule type="expression" dxfId="0" priority="3">
      <formula>$K2:$K1001="Broken"</formula>
    </cfRule>
  </conditionalFormatting>
  <dataValidations count="5">
    <dataValidation type="list" allowBlank="1" showInputMessage="1" showErrorMessage="1" sqref="C2:C1001" xr:uid="{3394BC2E-447E-4810-97F0-453D81E933A2}">
      <formula1>SELECT_OS</formula1>
    </dataValidation>
    <dataValidation type="list" allowBlank="1" showInputMessage="1" showErrorMessage="1" sqref="D1:D1048576" xr:uid="{DE7BE38D-8242-4A24-A6A6-A1496C81EDD9}">
      <formula1>SELECT_BROWSER</formula1>
    </dataValidation>
    <dataValidation type="list" allowBlank="1" showInputMessage="1" showErrorMessage="1" sqref="E1:E1048576" xr:uid="{7FC9F1D0-F9F9-4672-8C26-973D3EC897CD}">
      <formula1>SELECT_COUNTRY</formula1>
    </dataValidation>
    <dataValidation type="list" allowBlank="1" showInputMessage="1" showErrorMessage="1" sqref="K1:K1048576" xr:uid="{8B50034A-7C0E-43D5-A051-3DADF4725F6F}">
      <formula1>TEST_RESULTS</formula1>
    </dataValidation>
    <dataValidation type="list" allowBlank="1" showInputMessage="1" showErrorMessage="1" sqref="B2:B1001" xr:uid="{61289495-E243-4580-A800-5B67A831C56D}">
      <formula1>SELECT_TEST_TYPE</formula1>
    </dataValidation>
  </dataValidations>
  <pageMargins left="0.25" right="0.25" top="0.75" bottom="0.75" header="0.3" footer="0.3"/>
  <pageSetup paperSize="8" scale="86" orientation="landscape" horizontalDpi="300" verticalDpi="0" r:id="rId1"/>
  <colBreaks count="1" manualBreakCount="1">
    <brk id="14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AF2D9-836C-4FE8-8BD5-3E36F13472EC}">
  <sheetPr codeName="Sheet3"/>
  <dimension ref="A1:B28"/>
  <sheetViews>
    <sheetView zoomScaleNormal="100" workbookViewId="0">
      <selection activeCell="B13" sqref="B13"/>
    </sheetView>
  </sheetViews>
  <sheetFormatPr defaultRowHeight="15" x14ac:dyDescent="0.25"/>
  <cols>
    <col min="1" max="1" width="54" customWidth="1"/>
    <col min="2" max="2" width="77.7109375" customWidth="1"/>
  </cols>
  <sheetData>
    <row r="1" spans="1:2" x14ac:dyDescent="0.25">
      <c r="A1" s="43" t="s">
        <v>46</v>
      </c>
      <c r="B1" s="35"/>
    </row>
    <row r="2" spans="1:2" x14ac:dyDescent="0.25">
      <c r="A2" s="43" t="s">
        <v>45</v>
      </c>
      <c r="B2" s="35" t="str">
        <f>APP_NAME</f>
        <v>placeURLHere.com</v>
      </c>
    </row>
    <row r="3" spans="1:2" x14ac:dyDescent="0.25">
      <c r="A3" s="43" t="s">
        <v>44</v>
      </c>
      <c r="B3" s="35"/>
    </row>
    <row r="4" spans="1:2" x14ac:dyDescent="0.25">
      <c r="A4" s="43" t="s">
        <v>43</v>
      </c>
      <c r="B4" s="35"/>
    </row>
    <row r="5" spans="1:2" x14ac:dyDescent="0.25">
      <c r="A5" s="43" t="s">
        <v>42</v>
      </c>
      <c r="B5" s="35"/>
    </row>
    <row r="6" spans="1:2" x14ac:dyDescent="0.25">
      <c r="A6" s="43" t="s">
        <v>47</v>
      </c>
      <c r="B6" s="35"/>
    </row>
    <row r="7" spans="1:2" x14ac:dyDescent="0.25">
      <c r="A7" s="43" t="s">
        <v>49</v>
      </c>
      <c r="B7" s="35" t="str">
        <f>CLIENT_NAME</f>
        <v>ClientName ClientSurname</v>
      </c>
    </row>
    <row r="8" spans="1:2" x14ac:dyDescent="0.25">
      <c r="A8" s="43" t="s">
        <v>50</v>
      </c>
      <c r="B8" s="35" t="str">
        <f>CLIENT_NAME</f>
        <v>ClientName ClientSurname</v>
      </c>
    </row>
    <row r="9" spans="1:2" x14ac:dyDescent="0.25">
      <c r="A9" s="43" t="s">
        <v>48</v>
      </c>
      <c r="B9" s="35"/>
    </row>
    <row r="10" spans="1:2" x14ac:dyDescent="0.25">
      <c r="A10" s="43"/>
      <c r="B10" s="35"/>
    </row>
    <row r="11" spans="1:2" x14ac:dyDescent="0.25">
      <c r="A11" s="43"/>
      <c r="B11" s="35"/>
    </row>
    <row r="12" spans="1:2" x14ac:dyDescent="0.25">
      <c r="A12" s="43"/>
      <c r="B12" s="35"/>
    </row>
    <row r="13" spans="1:2" x14ac:dyDescent="0.25">
      <c r="A13" s="43" t="s">
        <v>51</v>
      </c>
      <c r="B13" s="35"/>
    </row>
    <row r="14" spans="1:2" ht="15" customHeight="1" x14ac:dyDescent="0.25">
      <c r="A14" s="43" t="s">
        <v>90</v>
      </c>
      <c r="B14" s="35"/>
    </row>
    <row r="15" spans="1:2" ht="15.75" customHeight="1" x14ac:dyDescent="0.25">
      <c r="A15" s="43"/>
      <c r="B15" s="35"/>
    </row>
    <row r="16" spans="1:2" x14ac:dyDescent="0.25">
      <c r="A16" s="43"/>
      <c r="B16" s="35"/>
    </row>
    <row r="17" spans="2:2" x14ac:dyDescent="0.25">
      <c r="B17" s="33"/>
    </row>
    <row r="18" spans="2:2" x14ac:dyDescent="0.25">
      <c r="B18" s="33"/>
    </row>
    <row r="19" spans="2:2" x14ac:dyDescent="0.25">
      <c r="B19" s="33"/>
    </row>
    <row r="20" spans="2:2" x14ac:dyDescent="0.25">
      <c r="B20" s="33"/>
    </row>
    <row r="21" spans="2:2" x14ac:dyDescent="0.25">
      <c r="B21" s="33"/>
    </row>
    <row r="22" spans="2:2" x14ac:dyDescent="0.25">
      <c r="B22" s="33"/>
    </row>
    <row r="23" spans="2:2" x14ac:dyDescent="0.25">
      <c r="B23" s="33"/>
    </row>
    <row r="24" spans="2:2" x14ac:dyDescent="0.25">
      <c r="B24" s="33"/>
    </row>
    <row r="25" spans="2:2" x14ac:dyDescent="0.25">
      <c r="B25" s="33"/>
    </row>
    <row r="26" spans="2:2" x14ac:dyDescent="0.25">
      <c r="B26" s="33"/>
    </row>
    <row r="27" spans="2:2" x14ac:dyDescent="0.25">
      <c r="B27" s="33"/>
    </row>
    <row r="28" spans="2:2" x14ac:dyDescent="0.25">
      <c r="B28" s="33"/>
    </row>
  </sheetData>
  <dataValidations count="3">
    <dataValidation type="list" allowBlank="1" showInputMessage="1" sqref="B3" xr:uid="{D32DF819-10C2-49CF-96B1-A6F21F27AFC5}">
      <formula1>LIST_COMPONENTS</formula1>
    </dataValidation>
    <dataValidation type="list" allowBlank="1" showInputMessage="1" showErrorMessage="1" sqref="B5" xr:uid="{13051590-C5E9-496C-A712-E2816B1DB410}">
      <formula1>SELECT_SEVERITY</formula1>
    </dataValidation>
    <dataValidation type="list" allowBlank="1" showInputMessage="1" showErrorMessage="1" sqref="B6" xr:uid="{134C5DA3-418E-4A6C-AD0A-9A80F0AAEB09}">
      <formula1>SELECT_ISSUE_STATUS</formula1>
    </dataValidation>
  </dataValidations>
  <hyperlinks>
    <hyperlink ref="B2" r:id="rId1" display="https://winningthehearts.com" xr:uid="{E3416E86-C019-43B0-A0C5-2119D9B861AB}"/>
  </hyperlinks>
  <pageMargins left="0.7" right="0.7" top="0.75" bottom="0.75" header="0.3" footer="0.3"/>
  <pageSetup paperSize="9" scale="57" orientation="portrait" horizontalDpi="300" verticalDpi="0" copies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38FEA-4EAA-4145-9744-FBDED0FC9C44}">
  <sheetPr codeName="Sheet6"/>
  <dimension ref="A1:B5"/>
  <sheetViews>
    <sheetView workbookViewId="0">
      <selection activeCell="B5" sqref="B5"/>
    </sheetView>
  </sheetViews>
  <sheetFormatPr defaultRowHeight="15" x14ac:dyDescent="0.25"/>
  <cols>
    <col min="1" max="1" width="18.7109375" customWidth="1"/>
    <col min="2" max="2" width="32.7109375" customWidth="1"/>
  </cols>
  <sheetData>
    <row r="1" spans="1:2" x14ac:dyDescent="0.25">
      <c r="A1" s="1" t="s">
        <v>54</v>
      </c>
      <c r="B1" s="42" t="s">
        <v>85</v>
      </c>
    </row>
    <row r="2" spans="1:2" x14ac:dyDescent="0.25">
      <c r="A2" s="1" t="s">
        <v>55</v>
      </c>
      <c r="B2" s="1" t="s">
        <v>86</v>
      </c>
    </row>
    <row r="3" spans="1:2" x14ac:dyDescent="0.25">
      <c r="A3" s="1" t="s">
        <v>56</v>
      </c>
      <c r="B3" s="2" t="s">
        <v>87</v>
      </c>
    </row>
    <row r="4" spans="1:2" x14ac:dyDescent="0.25">
      <c r="A4" s="31" t="s">
        <v>88</v>
      </c>
      <c r="B4" s="1" t="s">
        <v>88</v>
      </c>
    </row>
    <row r="5" spans="1:2" x14ac:dyDescent="0.25">
      <c r="A5" s="31" t="s">
        <v>83</v>
      </c>
      <c r="B5" s="1" t="s">
        <v>84</v>
      </c>
    </row>
  </sheetData>
  <hyperlinks>
    <hyperlink ref="B3" r:id="rId1" xr:uid="{9856438B-ED87-498D-9C1D-C3211E5A3DC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289D-8CAB-42A5-B2B9-2872CF20860A}">
  <sheetPr codeName="Sheet4"/>
  <dimension ref="A1:F51"/>
  <sheetViews>
    <sheetView workbookViewId="0">
      <selection activeCell="D11" sqref="D11"/>
    </sheetView>
  </sheetViews>
  <sheetFormatPr defaultRowHeight="15" x14ac:dyDescent="0.25"/>
  <cols>
    <col min="1" max="1" width="56.42578125" customWidth="1"/>
    <col min="2" max="3" width="9.140625" customWidth="1"/>
    <col min="4" max="4" width="52.7109375" customWidth="1"/>
    <col min="5" max="5" width="11.42578125" customWidth="1"/>
    <col min="6" max="6" width="54.85546875" customWidth="1"/>
  </cols>
  <sheetData>
    <row r="1" spans="1:6" x14ac:dyDescent="0.25">
      <c r="A1" s="5" t="s">
        <v>52</v>
      </c>
      <c r="B1" s="1"/>
      <c r="C1" s="1" t="s">
        <v>34</v>
      </c>
      <c r="D1" s="3" t="s">
        <v>36</v>
      </c>
      <c r="E1" s="3" t="s">
        <v>35</v>
      </c>
      <c r="F1" s="3" t="s">
        <v>10</v>
      </c>
    </row>
    <row r="2" spans="1:6" x14ac:dyDescent="0.25">
      <c r="A2" s="10"/>
      <c r="B2" s="1"/>
      <c r="C2" s="1" t="b">
        <f>IFERROR(FIND("/en",A2)&gt;0,FALSE)</f>
        <v>0</v>
      </c>
      <c r="D2" s="1"/>
      <c r="E2" s="1" t="b">
        <f t="shared" ref="E2:E49" si="0">C2=FALSE</f>
        <v>1</v>
      </c>
      <c r="F2" s="1"/>
    </row>
    <row r="3" spans="1:6" x14ac:dyDescent="0.25">
      <c r="A3" s="10"/>
      <c r="B3" s="1"/>
      <c r="C3" s="1" t="b">
        <f t="shared" ref="C3:C49" si="1">IFERROR(FIND("/en",A3)&gt;0,FALSE)</f>
        <v>0</v>
      </c>
      <c r="D3" s="1"/>
      <c r="E3" s="1" t="b">
        <f t="shared" si="0"/>
        <v>1</v>
      </c>
      <c r="F3" s="1"/>
    </row>
    <row r="4" spans="1:6" x14ac:dyDescent="0.25">
      <c r="A4" s="10"/>
      <c r="B4" s="1"/>
      <c r="C4" s="1" t="b">
        <f t="shared" si="1"/>
        <v>0</v>
      </c>
      <c r="D4" s="1"/>
      <c r="E4" s="1" t="b">
        <f t="shared" si="0"/>
        <v>1</v>
      </c>
      <c r="F4" s="1"/>
    </row>
    <row r="5" spans="1:6" x14ac:dyDescent="0.25">
      <c r="A5" s="10"/>
      <c r="B5" s="1"/>
      <c r="C5" s="1" t="b">
        <f t="shared" si="1"/>
        <v>0</v>
      </c>
      <c r="D5" s="1"/>
      <c r="E5" s="1" t="b">
        <f t="shared" si="0"/>
        <v>1</v>
      </c>
      <c r="F5" s="1"/>
    </row>
    <row r="6" spans="1:6" x14ac:dyDescent="0.25">
      <c r="A6" s="10"/>
      <c r="B6" s="1"/>
      <c r="C6" s="1" t="b">
        <f t="shared" si="1"/>
        <v>0</v>
      </c>
      <c r="D6" s="1"/>
      <c r="E6" s="1" t="b">
        <f t="shared" si="0"/>
        <v>1</v>
      </c>
      <c r="F6" s="1"/>
    </row>
    <row r="7" spans="1:6" x14ac:dyDescent="0.25">
      <c r="A7" s="10"/>
      <c r="B7" s="1"/>
      <c r="C7" s="1" t="b">
        <f t="shared" si="1"/>
        <v>0</v>
      </c>
      <c r="D7" s="1"/>
      <c r="E7" s="1" t="b">
        <f t="shared" si="0"/>
        <v>1</v>
      </c>
      <c r="F7" s="1"/>
    </row>
    <row r="8" spans="1:6" x14ac:dyDescent="0.25">
      <c r="A8" s="10"/>
      <c r="B8" s="1"/>
      <c r="C8" s="1" t="b">
        <f t="shared" si="1"/>
        <v>0</v>
      </c>
      <c r="D8" s="1"/>
      <c r="E8" s="1" t="b">
        <f t="shared" si="0"/>
        <v>1</v>
      </c>
      <c r="F8" s="1"/>
    </row>
    <row r="9" spans="1:6" x14ac:dyDescent="0.25">
      <c r="A9" s="10"/>
      <c r="B9" s="1"/>
      <c r="C9" s="1" t="b">
        <f t="shared" si="1"/>
        <v>0</v>
      </c>
      <c r="D9" s="1"/>
      <c r="E9" s="1" t="b">
        <f t="shared" si="0"/>
        <v>1</v>
      </c>
      <c r="F9" s="1"/>
    </row>
    <row r="10" spans="1:6" x14ac:dyDescent="0.25">
      <c r="A10" s="10"/>
      <c r="B10" s="1"/>
      <c r="C10" s="1" t="b">
        <f t="shared" si="1"/>
        <v>0</v>
      </c>
      <c r="D10" s="1"/>
      <c r="E10" s="1" t="b">
        <f t="shared" si="0"/>
        <v>1</v>
      </c>
      <c r="F10" s="1"/>
    </row>
    <row r="11" spans="1:6" x14ac:dyDescent="0.25">
      <c r="A11" s="10"/>
      <c r="B11" s="1"/>
      <c r="C11" s="1" t="b">
        <f t="shared" si="1"/>
        <v>0</v>
      </c>
      <c r="D11" s="1"/>
      <c r="E11" s="1" t="b">
        <f t="shared" si="0"/>
        <v>1</v>
      </c>
      <c r="F11" s="1"/>
    </row>
    <row r="12" spans="1:6" x14ac:dyDescent="0.25">
      <c r="A12" s="10"/>
      <c r="B12" s="1"/>
      <c r="C12" s="1" t="b">
        <f t="shared" si="1"/>
        <v>0</v>
      </c>
      <c r="D12" s="1"/>
      <c r="E12" s="1" t="b">
        <f t="shared" si="0"/>
        <v>1</v>
      </c>
      <c r="F12" s="1"/>
    </row>
    <row r="13" spans="1:6" x14ac:dyDescent="0.25">
      <c r="A13" s="10"/>
      <c r="B13" s="1"/>
      <c r="C13" s="1" t="b">
        <f t="shared" si="1"/>
        <v>0</v>
      </c>
      <c r="D13" s="1"/>
      <c r="E13" s="1" t="b">
        <f t="shared" si="0"/>
        <v>1</v>
      </c>
      <c r="F13" s="1"/>
    </row>
    <row r="14" spans="1:6" x14ac:dyDescent="0.25">
      <c r="A14" s="10"/>
      <c r="B14" s="1"/>
      <c r="C14" s="1" t="b">
        <f t="shared" si="1"/>
        <v>0</v>
      </c>
      <c r="D14" s="1"/>
      <c r="E14" s="1" t="b">
        <f t="shared" si="0"/>
        <v>1</v>
      </c>
      <c r="F14" s="1"/>
    </row>
    <row r="15" spans="1:6" x14ac:dyDescent="0.25">
      <c r="A15" s="10"/>
      <c r="B15" s="1"/>
      <c r="C15" s="1" t="b">
        <f t="shared" si="1"/>
        <v>0</v>
      </c>
      <c r="D15" s="1"/>
      <c r="E15" s="1" t="b">
        <f t="shared" si="0"/>
        <v>1</v>
      </c>
      <c r="F15" s="1"/>
    </row>
    <row r="16" spans="1:6" x14ac:dyDescent="0.25">
      <c r="A16" s="10"/>
      <c r="B16" s="1"/>
      <c r="C16" s="1" t="b">
        <f t="shared" si="1"/>
        <v>0</v>
      </c>
      <c r="D16" s="1"/>
      <c r="E16" s="1" t="b">
        <f t="shared" si="0"/>
        <v>1</v>
      </c>
      <c r="F16" s="1"/>
    </row>
    <row r="17" spans="1:6" x14ac:dyDescent="0.25">
      <c r="A17" s="10"/>
      <c r="B17" s="1"/>
      <c r="C17" s="1" t="b">
        <f t="shared" si="1"/>
        <v>0</v>
      </c>
      <c r="D17" s="1"/>
      <c r="E17" s="1" t="b">
        <f t="shared" si="0"/>
        <v>1</v>
      </c>
      <c r="F17" s="1"/>
    </row>
    <row r="18" spans="1:6" x14ac:dyDescent="0.25">
      <c r="A18" s="10"/>
      <c r="B18" s="1"/>
      <c r="C18" s="1" t="b">
        <f t="shared" si="1"/>
        <v>0</v>
      </c>
      <c r="D18" s="1"/>
      <c r="E18" s="1" t="b">
        <f t="shared" si="0"/>
        <v>1</v>
      </c>
      <c r="F18" s="1"/>
    </row>
    <row r="19" spans="1:6" x14ac:dyDescent="0.25">
      <c r="A19" s="10"/>
      <c r="B19" s="1"/>
      <c r="C19" s="1" t="b">
        <f t="shared" si="1"/>
        <v>0</v>
      </c>
      <c r="D19" s="1"/>
      <c r="E19" s="1" t="b">
        <f t="shared" si="0"/>
        <v>1</v>
      </c>
      <c r="F19" s="1"/>
    </row>
    <row r="20" spans="1:6" x14ac:dyDescent="0.25">
      <c r="A20" s="10"/>
      <c r="B20" s="1"/>
      <c r="C20" s="1" t="b">
        <f t="shared" si="1"/>
        <v>0</v>
      </c>
      <c r="D20" s="1"/>
      <c r="E20" s="1" t="b">
        <f t="shared" si="0"/>
        <v>1</v>
      </c>
      <c r="F20" s="1"/>
    </row>
    <row r="21" spans="1:6" x14ac:dyDescent="0.25">
      <c r="A21" s="10"/>
      <c r="B21" s="1"/>
      <c r="C21" s="1" t="b">
        <f t="shared" si="1"/>
        <v>0</v>
      </c>
      <c r="D21" s="1"/>
      <c r="E21" s="1" t="b">
        <f t="shared" si="0"/>
        <v>1</v>
      </c>
      <c r="F21" s="1"/>
    </row>
    <row r="22" spans="1:6" x14ac:dyDescent="0.25">
      <c r="A22" s="10"/>
      <c r="B22" s="1"/>
      <c r="C22" s="1" t="b">
        <f t="shared" si="1"/>
        <v>0</v>
      </c>
      <c r="D22" s="1"/>
      <c r="E22" s="1" t="b">
        <f t="shared" si="0"/>
        <v>1</v>
      </c>
      <c r="F22" s="1"/>
    </row>
    <row r="23" spans="1:6" x14ac:dyDescent="0.25">
      <c r="A23" s="10"/>
      <c r="B23" s="1"/>
      <c r="C23" s="1" t="b">
        <f t="shared" si="1"/>
        <v>0</v>
      </c>
      <c r="D23" s="1"/>
      <c r="E23" s="1" t="b">
        <f t="shared" si="0"/>
        <v>1</v>
      </c>
      <c r="F23" s="1"/>
    </row>
    <row r="24" spans="1:6" x14ac:dyDescent="0.25">
      <c r="A24" s="10"/>
      <c r="B24" s="1"/>
      <c r="C24" s="1" t="b">
        <f t="shared" si="1"/>
        <v>0</v>
      </c>
      <c r="D24" s="1"/>
      <c r="E24" s="1" t="b">
        <f t="shared" si="0"/>
        <v>1</v>
      </c>
      <c r="F24" s="1"/>
    </row>
    <row r="25" spans="1:6" x14ac:dyDescent="0.25">
      <c r="A25" s="10"/>
      <c r="B25" s="1"/>
      <c r="C25" s="1" t="b">
        <f t="shared" si="1"/>
        <v>0</v>
      </c>
      <c r="D25" s="1"/>
      <c r="E25" s="1" t="b">
        <f t="shared" si="0"/>
        <v>1</v>
      </c>
      <c r="F25" s="1"/>
    </row>
    <row r="26" spans="1:6" x14ac:dyDescent="0.25">
      <c r="A26" s="10"/>
      <c r="B26" s="1"/>
      <c r="C26" s="1" t="b">
        <f t="shared" si="1"/>
        <v>0</v>
      </c>
      <c r="D26" s="1"/>
      <c r="E26" s="1" t="b">
        <f t="shared" si="0"/>
        <v>1</v>
      </c>
      <c r="F26" s="1"/>
    </row>
    <row r="27" spans="1:6" x14ac:dyDescent="0.25">
      <c r="A27" s="10"/>
      <c r="B27" s="1"/>
      <c r="C27" s="1" t="b">
        <f t="shared" si="1"/>
        <v>0</v>
      </c>
      <c r="D27" s="1"/>
      <c r="E27" s="1" t="b">
        <f t="shared" si="0"/>
        <v>1</v>
      </c>
      <c r="F27" s="1"/>
    </row>
    <row r="28" spans="1:6" x14ac:dyDescent="0.25">
      <c r="A28" s="10"/>
      <c r="B28" s="1"/>
      <c r="C28" s="1" t="b">
        <f t="shared" si="1"/>
        <v>0</v>
      </c>
      <c r="D28" s="1"/>
      <c r="E28" s="1" t="b">
        <f t="shared" si="0"/>
        <v>1</v>
      </c>
      <c r="F28" s="1"/>
    </row>
    <row r="29" spans="1:6" x14ac:dyDescent="0.25">
      <c r="A29" s="10"/>
      <c r="B29" s="1"/>
      <c r="C29" s="1" t="b">
        <f t="shared" si="1"/>
        <v>0</v>
      </c>
      <c r="D29" s="1"/>
      <c r="E29" s="1" t="b">
        <f t="shared" si="0"/>
        <v>1</v>
      </c>
      <c r="F29" s="1"/>
    </row>
    <row r="30" spans="1:6" x14ac:dyDescent="0.25">
      <c r="A30" s="10"/>
      <c r="B30" s="1"/>
      <c r="C30" s="1" t="b">
        <f t="shared" si="1"/>
        <v>0</v>
      </c>
      <c r="D30" s="1"/>
      <c r="E30" s="1" t="b">
        <f t="shared" si="0"/>
        <v>1</v>
      </c>
      <c r="F30" s="1"/>
    </row>
    <row r="31" spans="1:6" x14ac:dyDescent="0.25">
      <c r="A31" s="10"/>
      <c r="B31" s="1"/>
      <c r="C31" s="1" t="b">
        <f t="shared" si="1"/>
        <v>0</v>
      </c>
      <c r="D31" s="1"/>
      <c r="E31" s="1" t="b">
        <f t="shared" si="0"/>
        <v>1</v>
      </c>
      <c r="F31" s="1"/>
    </row>
    <row r="32" spans="1:6" x14ac:dyDescent="0.25">
      <c r="A32" s="10"/>
      <c r="B32" s="1"/>
      <c r="C32" s="1" t="b">
        <f t="shared" si="1"/>
        <v>0</v>
      </c>
      <c r="D32" s="1"/>
      <c r="E32" s="1" t="b">
        <f t="shared" si="0"/>
        <v>1</v>
      </c>
      <c r="F32" s="1"/>
    </row>
    <row r="33" spans="1:6" x14ac:dyDescent="0.25">
      <c r="A33" s="10"/>
      <c r="B33" s="1"/>
      <c r="C33" s="1" t="b">
        <f t="shared" si="1"/>
        <v>0</v>
      </c>
      <c r="D33" s="1"/>
      <c r="E33" s="1" t="b">
        <f t="shared" si="0"/>
        <v>1</v>
      </c>
      <c r="F33" s="1"/>
    </row>
    <row r="34" spans="1:6" x14ac:dyDescent="0.25">
      <c r="A34" s="10"/>
      <c r="B34" s="1"/>
      <c r="C34" s="1" t="b">
        <f t="shared" si="1"/>
        <v>0</v>
      </c>
      <c r="D34" s="1"/>
      <c r="E34" s="1" t="b">
        <f t="shared" si="0"/>
        <v>1</v>
      </c>
      <c r="F34" s="1"/>
    </row>
    <row r="35" spans="1:6" x14ac:dyDescent="0.25">
      <c r="A35" s="10"/>
      <c r="B35" s="1"/>
      <c r="C35" s="1" t="b">
        <f t="shared" si="1"/>
        <v>0</v>
      </c>
      <c r="D35" s="1"/>
      <c r="E35" s="1" t="b">
        <f t="shared" si="0"/>
        <v>1</v>
      </c>
      <c r="F35" s="1"/>
    </row>
    <row r="36" spans="1:6" x14ac:dyDescent="0.25">
      <c r="A36" s="10"/>
      <c r="B36" s="1"/>
      <c r="C36" s="1" t="b">
        <f t="shared" si="1"/>
        <v>0</v>
      </c>
      <c r="D36" s="1"/>
      <c r="E36" s="1" t="b">
        <f t="shared" si="0"/>
        <v>1</v>
      </c>
      <c r="F36" s="1"/>
    </row>
    <row r="37" spans="1:6" x14ac:dyDescent="0.25">
      <c r="A37" s="10"/>
      <c r="B37" s="1"/>
      <c r="C37" s="1" t="b">
        <f t="shared" si="1"/>
        <v>0</v>
      </c>
      <c r="D37" s="1"/>
      <c r="E37" s="1" t="b">
        <f t="shared" si="0"/>
        <v>1</v>
      </c>
      <c r="F37" s="1"/>
    </row>
    <row r="38" spans="1:6" x14ac:dyDescent="0.25">
      <c r="A38" s="10"/>
      <c r="B38" s="1"/>
      <c r="C38" s="1" t="b">
        <f t="shared" si="1"/>
        <v>0</v>
      </c>
      <c r="D38" s="1"/>
      <c r="E38" s="1" t="b">
        <f t="shared" si="0"/>
        <v>1</v>
      </c>
      <c r="F38" s="1"/>
    </row>
    <row r="39" spans="1:6" x14ac:dyDescent="0.25">
      <c r="A39" s="10"/>
      <c r="B39" s="1"/>
      <c r="C39" s="1" t="b">
        <f t="shared" si="1"/>
        <v>0</v>
      </c>
      <c r="D39" s="1"/>
      <c r="E39" s="1" t="b">
        <f t="shared" si="0"/>
        <v>1</v>
      </c>
      <c r="F39" s="1"/>
    </row>
    <row r="40" spans="1:6" x14ac:dyDescent="0.25">
      <c r="A40" s="10"/>
      <c r="B40" s="1"/>
      <c r="C40" s="1" t="b">
        <f t="shared" si="1"/>
        <v>0</v>
      </c>
      <c r="D40" s="1"/>
      <c r="E40" s="1" t="b">
        <f t="shared" si="0"/>
        <v>1</v>
      </c>
      <c r="F40" s="1"/>
    </row>
    <row r="41" spans="1:6" x14ac:dyDescent="0.25">
      <c r="A41" s="10"/>
      <c r="B41" s="1"/>
      <c r="C41" s="1" t="b">
        <f t="shared" si="1"/>
        <v>0</v>
      </c>
      <c r="D41" s="1"/>
      <c r="E41" s="1" t="b">
        <f t="shared" si="0"/>
        <v>1</v>
      </c>
      <c r="F41" s="1"/>
    </row>
    <row r="42" spans="1:6" x14ac:dyDescent="0.25">
      <c r="A42" s="10"/>
      <c r="B42" s="1"/>
      <c r="C42" s="1" t="b">
        <f t="shared" si="1"/>
        <v>0</v>
      </c>
      <c r="D42" s="1"/>
      <c r="E42" s="1" t="b">
        <f t="shared" si="0"/>
        <v>1</v>
      </c>
      <c r="F42" s="1"/>
    </row>
    <row r="43" spans="1:6" x14ac:dyDescent="0.25">
      <c r="A43" s="10"/>
      <c r="B43" s="1"/>
      <c r="C43" s="1" t="b">
        <f t="shared" si="1"/>
        <v>0</v>
      </c>
      <c r="D43" s="1"/>
      <c r="E43" s="1" t="b">
        <f t="shared" si="0"/>
        <v>1</v>
      </c>
      <c r="F43" s="1"/>
    </row>
    <row r="44" spans="1:6" x14ac:dyDescent="0.25">
      <c r="A44" s="10"/>
      <c r="B44" s="1"/>
      <c r="C44" s="1" t="b">
        <f t="shared" si="1"/>
        <v>0</v>
      </c>
      <c r="D44" s="1"/>
      <c r="E44" s="1" t="b">
        <f t="shared" si="0"/>
        <v>1</v>
      </c>
      <c r="F44" s="1"/>
    </row>
    <row r="45" spans="1:6" x14ac:dyDescent="0.25">
      <c r="A45" s="10"/>
      <c r="B45" s="1"/>
      <c r="C45" s="1" t="b">
        <f t="shared" si="1"/>
        <v>0</v>
      </c>
      <c r="D45" s="1"/>
      <c r="E45" s="1" t="b">
        <f t="shared" si="0"/>
        <v>1</v>
      </c>
      <c r="F45" s="1"/>
    </row>
    <row r="46" spans="1:6" x14ac:dyDescent="0.25">
      <c r="A46" s="10"/>
      <c r="B46" s="1"/>
      <c r="C46" s="1" t="b">
        <f t="shared" si="1"/>
        <v>0</v>
      </c>
      <c r="D46" s="1"/>
      <c r="E46" s="1" t="b">
        <f t="shared" si="0"/>
        <v>1</v>
      </c>
      <c r="F46" s="1"/>
    </row>
    <row r="47" spans="1:6" x14ac:dyDescent="0.25">
      <c r="A47" s="10"/>
      <c r="B47" s="1"/>
      <c r="C47" s="1" t="b">
        <f t="shared" si="1"/>
        <v>0</v>
      </c>
      <c r="D47" s="1"/>
      <c r="E47" s="1" t="b">
        <f t="shared" si="0"/>
        <v>1</v>
      </c>
      <c r="F47" s="1"/>
    </row>
    <row r="48" spans="1:6" x14ac:dyDescent="0.25">
      <c r="A48" s="10"/>
      <c r="B48" s="1"/>
      <c r="C48" s="1" t="b">
        <f t="shared" si="1"/>
        <v>0</v>
      </c>
      <c r="D48" s="1"/>
      <c r="E48" s="1" t="b">
        <f t="shared" si="0"/>
        <v>1</v>
      </c>
      <c r="F48" s="1"/>
    </row>
    <row r="49" spans="1:6" x14ac:dyDescent="0.25">
      <c r="A49" s="10"/>
      <c r="B49" s="1"/>
      <c r="C49" s="1" t="b">
        <f t="shared" si="1"/>
        <v>0</v>
      </c>
      <c r="D49" s="1"/>
      <c r="E49" s="1" t="b">
        <f t="shared" si="0"/>
        <v>1</v>
      </c>
      <c r="F49" s="1"/>
    </row>
    <row r="50" spans="1:6" x14ac:dyDescent="0.25">
      <c r="A50" s="1"/>
      <c r="B50" s="1"/>
      <c r="C50" s="1"/>
      <c r="D50" s="1"/>
      <c r="E50" s="1"/>
      <c r="F50" s="1"/>
    </row>
    <row r="51" spans="1:6" x14ac:dyDescent="0.25">
      <c r="A51" s="1"/>
      <c r="B51" s="1"/>
      <c r="C51" s="1"/>
      <c r="D51" s="1"/>
      <c r="E51" s="1"/>
      <c r="F51" s="1"/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0237-9BC2-4ECB-9AC4-B62E11877122}">
  <sheetPr codeName="Sheet2"/>
  <dimension ref="A1:H26"/>
  <sheetViews>
    <sheetView workbookViewId="0">
      <selection activeCell="D8" sqref="D8"/>
    </sheetView>
  </sheetViews>
  <sheetFormatPr defaultRowHeight="15" x14ac:dyDescent="0.25"/>
  <cols>
    <col min="1" max="1" width="10.5703125" customWidth="1"/>
    <col min="3" max="3" width="15.7109375" customWidth="1"/>
    <col min="5" max="5" width="9.140625" customWidth="1"/>
    <col min="6" max="6" width="31" customWidth="1"/>
    <col min="7" max="7" width="13.28515625" customWidth="1"/>
  </cols>
  <sheetData>
    <row r="1" spans="1:8" x14ac:dyDescent="0.25">
      <c r="A1" s="18" t="s">
        <v>14</v>
      </c>
      <c r="B1" s="20" t="s">
        <v>14</v>
      </c>
      <c r="C1" s="22" t="s">
        <v>14</v>
      </c>
      <c r="D1" s="24" t="s">
        <v>14</v>
      </c>
      <c r="E1" s="17" t="s">
        <v>14</v>
      </c>
      <c r="F1" s="26" t="s">
        <v>14</v>
      </c>
      <c r="G1" s="29" t="s">
        <v>14</v>
      </c>
      <c r="H1" s="9" t="s">
        <v>14</v>
      </c>
    </row>
    <row r="2" spans="1:8" x14ac:dyDescent="0.25">
      <c r="A2" s="19" t="s">
        <v>11</v>
      </c>
      <c r="B2" s="21" t="s">
        <v>15</v>
      </c>
      <c r="C2" s="23" t="s">
        <v>19</v>
      </c>
      <c r="D2" s="25" t="s">
        <v>10</v>
      </c>
      <c r="E2" s="28" t="s">
        <v>31</v>
      </c>
      <c r="F2" s="27" t="s">
        <v>38</v>
      </c>
      <c r="G2" s="30" t="s">
        <v>70</v>
      </c>
    </row>
    <row r="3" spans="1:8" x14ac:dyDescent="0.25">
      <c r="A3" s="19" t="s">
        <v>12</v>
      </c>
      <c r="B3" s="21" t="s">
        <v>16</v>
      </c>
      <c r="C3" s="23" t="s">
        <v>9</v>
      </c>
      <c r="D3" s="25" t="s">
        <v>25</v>
      </c>
      <c r="E3" s="28" t="s">
        <v>32</v>
      </c>
      <c r="F3" s="27" t="s">
        <v>39</v>
      </c>
      <c r="G3" s="30" t="s">
        <v>71</v>
      </c>
    </row>
    <row r="4" spans="1:8" x14ac:dyDescent="0.25">
      <c r="A4" s="19" t="s">
        <v>13</v>
      </c>
      <c r="B4" s="21" t="s">
        <v>17</v>
      </c>
      <c r="C4" s="23" t="s">
        <v>20</v>
      </c>
      <c r="D4" s="25" t="s">
        <v>26</v>
      </c>
      <c r="E4" s="28"/>
      <c r="F4" s="27" t="s">
        <v>69</v>
      </c>
      <c r="G4" s="30" t="s">
        <v>74</v>
      </c>
    </row>
    <row r="5" spans="1:8" x14ac:dyDescent="0.25">
      <c r="A5" s="19"/>
      <c r="B5" s="21" t="s">
        <v>18</v>
      </c>
      <c r="C5" s="23" t="s">
        <v>21</v>
      </c>
      <c r="D5" s="25" t="s">
        <v>27</v>
      </c>
      <c r="E5" s="28"/>
      <c r="F5" s="27" t="s">
        <v>40</v>
      </c>
      <c r="G5" s="30" t="s">
        <v>73</v>
      </c>
    </row>
    <row r="6" spans="1:8" x14ac:dyDescent="0.25">
      <c r="A6" s="8"/>
      <c r="B6" s="21" t="s">
        <v>80</v>
      </c>
      <c r="C6" s="23" t="s">
        <v>22</v>
      </c>
      <c r="D6" s="25" t="s">
        <v>28</v>
      </c>
      <c r="E6" s="28"/>
      <c r="F6" s="27" t="s">
        <v>41</v>
      </c>
      <c r="G6" s="30" t="s">
        <v>72</v>
      </c>
    </row>
    <row r="7" spans="1:8" x14ac:dyDescent="0.25">
      <c r="A7" s="8"/>
      <c r="B7" s="21"/>
      <c r="C7" s="23" t="s">
        <v>23</v>
      </c>
      <c r="D7" s="25" t="s">
        <v>29</v>
      </c>
      <c r="E7" s="28"/>
    </row>
    <row r="8" spans="1:8" x14ac:dyDescent="0.25">
      <c r="A8" s="8"/>
      <c r="B8" s="21"/>
      <c r="C8" s="23" t="s">
        <v>24</v>
      </c>
      <c r="D8" s="25"/>
      <c r="E8" s="28"/>
    </row>
    <row r="9" spans="1:8" x14ac:dyDescent="0.25">
      <c r="A9" s="8"/>
      <c r="B9" s="21"/>
      <c r="C9" s="23" t="s">
        <v>81</v>
      </c>
      <c r="D9" s="25"/>
      <c r="E9" s="28"/>
    </row>
    <row r="10" spans="1:8" x14ac:dyDescent="0.25">
      <c r="A10" s="8"/>
      <c r="B10" s="8"/>
      <c r="C10" s="6"/>
      <c r="D10" s="7"/>
      <c r="E10" s="8"/>
    </row>
    <row r="11" spans="1:8" x14ac:dyDescent="0.25">
      <c r="A11" s="8"/>
      <c r="B11" s="8"/>
      <c r="C11" s="6"/>
      <c r="D11" s="7"/>
      <c r="E11" s="8"/>
    </row>
    <row r="12" spans="1:8" x14ac:dyDescent="0.25">
      <c r="A12" s="8"/>
      <c r="B12" s="8"/>
      <c r="C12" s="6"/>
      <c r="D12" s="7"/>
      <c r="E12" s="8"/>
    </row>
    <row r="13" spans="1:8" x14ac:dyDescent="0.25">
      <c r="A13" s="8"/>
      <c r="B13" s="8"/>
      <c r="C13" s="6"/>
      <c r="D13" s="7"/>
      <c r="E13" s="8"/>
    </row>
    <row r="14" spans="1:8" x14ac:dyDescent="0.25">
      <c r="A14" s="8"/>
      <c r="B14" s="8"/>
      <c r="C14" s="6"/>
      <c r="D14" s="7"/>
      <c r="E14" s="8"/>
    </row>
    <row r="15" spans="1:8" x14ac:dyDescent="0.25">
      <c r="A15" s="8"/>
      <c r="B15" s="8"/>
      <c r="C15" s="6"/>
      <c r="D15" s="7"/>
      <c r="E15" s="8"/>
    </row>
    <row r="16" spans="1:8" x14ac:dyDescent="0.25">
      <c r="A16" s="8"/>
      <c r="B16" s="8"/>
      <c r="C16" s="6"/>
      <c r="D16" s="7"/>
      <c r="E16" s="8"/>
    </row>
    <row r="17" spans="1:5" x14ac:dyDescent="0.25">
      <c r="A17" s="8"/>
      <c r="B17" s="8"/>
      <c r="C17" s="6"/>
      <c r="D17" s="7"/>
      <c r="E17" s="8"/>
    </row>
    <row r="18" spans="1:5" x14ac:dyDescent="0.25">
      <c r="A18" s="8"/>
      <c r="B18" s="8"/>
      <c r="C18" s="6"/>
      <c r="D18" s="7"/>
      <c r="E18" s="8"/>
    </row>
    <row r="19" spans="1:5" x14ac:dyDescent="0.25">
      <c r="A19" s="8"/>
      <c r="B19" s="8"/>
      <c r="C19" s="6"/>
      <c r="D19" s="7"/>
      <c r="E19" s="8"/>
    </row>
    <row r="20" spans="1:5" x14ac:dyDescent="0.25">
      <c r="A20" s="8"/>
      <c r="B20" s="8"/>
      <c r="C20" s="6"/>
      <c r="D20" s="7"/>
      <c r="E20" s="8"/>
    </row>
    <row r="21" spans="1:5" x14ac:dyDescent="0.25">
      <c r="A21" s="8"/>
      <c r="B21" s="8"/>
      <c r="C21" s="6"/>
      <c r="D21" s="7"/>
      <c r="E21" s="8"/>
    </row>
    <row r="22" spans="1:5" x14ac:dyDescent="0.25">
      <c r="A22" s="8"/>
      <c r="B22" s="8"/>
      <c r="C22" s="6"/>
      <c r="D22" s="7"/>
      <c r="E22" s="8"/>
    </row>
    <row r="23" spans="1:5" x14ac:dyDescent="0.25">
      <c r="A23" s="8"/>
      <c r="B23" s="8"/>
      <c r="C23" s="6"/>
      <c r="D23" s="7"/>
      <c r="E23" s="8"/>
    </row>
    <row r="24" spans="1:5" x14ac:dyDescent="0.25">
      <c r="A24" s="8"/>
      <c r="B24" s="8"/>
      <c r="C24" s="6"/>
      <c r="D24" s="7"/>
      <c r="E24" s="8"/>
    </row>
    <row r="25" spans="1:5" x14ac:dyDescent="0.25">
      <c r="A25" s="8"/>
      <c r="B25" s="8"/>
      <c r="C25" s="6"/>
      <c r="D25" s="7"/>
      <c r="E25" s="8"/>
    </row>
    <row r="26" spans="1:5" x14ac:dyDescent="0.25">
      <c r="A26" s="8"/>
      <c r="B26" s="8"/>
      <c r="C26" s="6"/>
      <c r="D26" s="7"/>
      <c r="E26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1A65-37F8-43F9-9BEA-4F25173DF94A}">
  <sheetPr codeName="Sheet8"/>
  <dimension ref="A1:Q49"/>
  <sheetViews>
    <sheetView workbookViewId="0">
      <selection activeCell="B3" sqref="B3"/>
    </sheetView>
  </sheetViews>
  <sheetFormatPr defaultRowHeight="15" outlineLevelRow="1" x14ac:dyDescent="0.25"/>
  <cols>
    <col min="1" max="1" width="2.7109375" customWidth="1"/>
    <col min="11" max="11" width="9.140625" style="11"/>
  </cols>
  <sheetData>
    <row r="1" spans="1:17" outlineLevel="1" x14ac:dyDescent="0.25">
      <c r="B1" t="s">
        <v>65</v>
      </c>
    </row>
    <row r="2" spans="1:17" outlineLevel="1" x14ac:dyDescent="0.25">
      <c r="B2" t="s">
        <v>57</v>
      </c>
    </row>
    <row r="3" spans="1:17" outlineLevel="1" x14ac:dyDescent="0.25">
      <c r="B3" t="str">
        <f>CLIENT_FNAME</f>
        <v>Client given name</v>
      </c>
    </row>
    <row r="4" spans="1:17" outlineLevel="1" x14ac:dyDescent="0.25">
      <c r="B4" t="s">
        <v>58</v>
      </c>
    </row>
    <row r="5" spans="1:17" outlineLevel="1" x14ac:dyDescent="0.25">
      <c r="B5" t="s">
        <v>66</v>
      </c>
    </row>
    <row r="6" spans="1:17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5"/>
      <c r="L6" s="13"/>
      <c r="M6" s="13"/>
      <c r="N6" s="13"/>
      <c r="O6" s="13"/>
      <c r="P6" s="13"/>
      <c r="Q6" s="13"/>
    </row>
    <row r="7" spans="1:17" ht="15" customHeight="1" x14ac:dyDescent="0.25">
      <c r="A7" s="13"/>
      <c r="B7" s="45" t="str">
        <f>_xlfn.TEXTJOIN(" ",TRUE,B1:B5)</f>
        <v>&lt;p&gt; Hello Client given name , &lt;/p&gt;</v>
      </c>
      <c r="C7" s="45"/>
      <c r="D7" s="45"/>
      <c r="E7" s="45"/>
      <c r="F7" s="45"/>
      <c r="G7" s="45"/>
      <c r="H7" s="45"/>
      <c r="I7" s="45"/>
      <c r="J7" s="45"/>
      <c r="K7" s="15"/>
      <c r="L7" s="13"/>
      <c r="M7" s="13"/>
      <c r="N7" s="13"/>
      <c r="O7" s="13"/>
      <c r="P7" s="13"/>
      <c r="Q7" s="13"/>
    </row>
    <row r="8" spans="1:17" ht="15" customHeight="1" x14ac:dyDescent="0.25">
      <c r="A8" s="13"/>
      <c r="B8" s="14"/>
      <c r="C8" s="14"/>
      <c r="D8" s="14"/>
      <c r="E8" s="14"/>
      <c r="F8" s="14"/>
      <c r="G8" s="14"/>
      <c r="H8" s="14"/>
      <c r="I8" s="14"/>
      <c r="J8" s="14"/>
      <c r="K8" s="15"/>
      <c r="L8" s="13"/>
      <c r="M8" s="13"/>
      <c r="N8" s="13"/>
      <c r="O8" s="13"/>
      <c r="P8" s="13"/>
      <c r="Q8" s="13"/>
    </row>
    <row r="9" spans="1:17" ht="15" customHeight="1" outlineLevel="1" x14ac:dyDescent="0.25">
      <c r="A9" s="13"/>
      <c r="B9" s="16" t="s">
        <v>65</v>
      </c>
      <c r="C9" s="16"/>
      <c r="D9" s="16"/>
      <c r="E9" s="16"/>
      <c r="F9" s="16"/>
      <c r="G9" s="16"/>
      <c r="H9" s="16"/>
      <c r="I9" s="16"/>
      <c r="J9" s="16"/>
      <c r="K9" s="15"/>
      <c r="L9" s="13"/>
      <c r="M9" s="13"/>
      <c r="N9" s="13"/>
      <c r="O9" s="13"/>
      <c r="P9" s="13"/>
      <c r="Q9" s="13"/>
    </row>
    <row r="10" spans="1:17" ht="15" customHeight="1" outlineLevel="1" x14ac:dyDescent="0.25">
      <c r="A10" s="13"/>
      <c r="B10" s="46" t="s">
        <v>75</v>
      </c>
      <c r="C10" s="46"/>
      <c r="D10" s="46"/>
      <c r="E10" s="46"/>
      <c r="F10" s="46"/>
      <c r="G10" s="46"/>
      <c r="H10" s="46"/>
      <c r="I10" s="46"/>
      <c r="J10" s="46"/>
      <c r="K10" s="15"/>
      <c r="L10" s="13"/>
      <c r="M10" s="13"/>
      <c r="N10" s="13"/>
      <c r="O10" s="13"/>
      <c r="P10" s="13"/>
      <c r="Q10" s="13"/>
    </row>
    <row r="11" spans="1:17" ht="15" customHeight="1" outlineLevel="1" x14ac:dyDescent="0.25">
      <c r="A11" s="13"/>
      <c r="B11" s="46" t="s">
        <v>82</v>
      </c>
      <c r="C11" s="46"/>
      <c r="D11" s="46"/>
      <c r="E11" s="46"/>
      <c r="F11" s="46"/>
      <c r="G11" s="46"/>
      <c r="H11" s="46"/>
      <c r="I11" s="46"/>
      <c r="J11" s="46"/>
      <c r="K11" s="15" t="s">
        <v>68</v>
      </c>
      <c r="L11" s="13"/>
      <c r="M11" s="13"/>
      <c r="N11" s="13"/>
      <c r="O11" s="13"/>
      <c r="P11" s="13"/>
      <c r="Q11" s="13"/>
    </row>
    <row r="12" spans="1:17" ht="15" customHeight="1" outlineLevel="1" x14ac:dyDescent="0.25">
      <c r="A12" s="13"/>
      <c r="B12" s="46" t="s">
        <v>76</v>
      </c>
      <c r="C12" s="46"/>
      <c r="D12" s="46"/>
      <c r="E12" s="46"/>
      <c r="F12" s="46"/>
      <c r="G12" s="46"/>
      <c r="H12" s="46"/>
      <c r="I12" s="46"/>
      <c r="J12" s="46"/>
      <c r="K12" s="15"/>
      <c r="L12" s="13"/>
      <c r="M12" s="13"/>
      <c r="N12" s="13"/>
      <c r="O12" s="13"/>
      <c r="P12" s="13"/>
      <c r="Q12" s="13"/>
    </row>
    <row r="13" spans="1:17" ht="15" customHeight="1" outlineLevel="1" x14ac:dyDescent="0.25">
      <c r="A13" s="13"/>
      <c r="B13" s="16" t="s">
        <v>66</v>
      </c>
      <c r="C13" s="16"/>
      <c r="D13" s="16"/>
      <c r="E13" s="16"/>
      <c r="F13" s="16"/>
      <c r="G13" s="16"/>
      <c r="H13" s="16"/>
      <c r="I13" s="16"/>
      <c r="J13" s="16"/>
      <c r="K13" s="15"/>
      <c r="L13" s="13"/>
      <c r="M13" s="13"/>
      <c r="N13" s="13"/>
      <c r="O13" s="13"/>
      <c r="P13" s="13"/>
      <c r="Q13" s="13"/>
    </row>
    <row r="14" spans="1:17" ht="15" customHeight="1" outlineLevel="1" x14ac:dyDescent="0.25">
      <c r="A14" s="13"/>
      <c r="B14" s="49" t="s">
        <v>89</v>
      </c>
      <c r="C14" s="49"/>
      <c r="D14" s="49"/>
      <c r="E14" s="49"/>
      <c r="F14" s="49"/>
      <c r="G14" s="49"/>
      <c r="H14" s="49"/>
      <c r="I14" s="49"/>
      <c r="J14" s="49"/>
      <c r="K14" s="15"/>
      <c r="L14" s="13"/>
      <c r="M14" s="13"/>
      <c r="N14" s="13"/>
      <c r="O14" s="13"/>
      <c r="P14" s="13"/>
      <c r="Q14" s="13"/>
    </row>
    <row r="15" spans="1:17" ht="15" customHeight="1" outlineLevel="1" x14ac:dyDescent="0.25">
      <c r="A15" s="13"/>
      <c r="B15" s="50" t="s">
        <v>91</v>
      </c>
      <c r="C15" s="50"/>
      <c r="D15" s="50"/>
      <c r="E15" s="50"/>
      <c r="F15" s="50"/>
      <c r="G15" s="50"/>
      <c r="H15" s="50"/>
      <c r="I15" s="50"/>
      <c r="J15" s="50"/>
      <c r="K15" s="15"/>
      <c r="L15" s="13"/>
      <c r="M15" s="13"/>
      <c r="N15" s="13"/>
      <c r="O15" s="13"/>
      <c r="P15" s="13"/>
      <c r="Q15" s="13"/>
    </row>
    <row r="16" spans="1:17" ht="15" customHeight="1" outlineLevel="1" x14ac:dyDescent="0.25">
      <c r="A16" s="13"/>
      <c r="B16" s="34" t="s">
        <v>66</v>
      </c>
      <c r="C16" s="12"/>
      <c r="D16" s="12"/>
      <c r="E16" s="12"/>
      <c r="F16" s="12"/>
      <c r="G16" s="12"/>
      <c r="H16" s="12"/>
      <c r="I16" s="12"/>
      <c r="J16" s="12"/>
      <c r="K16" s="15"/>
      <c r="L16" s="13"/>
      <c r="M16" s="13"/>
      <c r="N16" s="13"/>
      <c r="O16" s="13"/>
      <c r="P16" s="13"/>
      <c r="Q16" s="13"/>
    </row>
    <row r="17" spans="1:17" ht="15" customHeight="1" outlineLevel="1" x14ac:dyDescent="0.25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5"/>
      <c r="L17" s="13"/>
      <c r="M17" s="13"/>
      <c r="N17" s="13"/>
      <c r="O17" s="13"/>
      <c r="P17" s="13"/>
      <c r="Q17" s="13"/>
    </row>
    <row r="18" spans="1:17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5"/>
      <c r="L18" s="13"/>
      <c r="M18" s="13"/>
      <c r="N18" s="13"/>
      <c r="O18" s="13"/>
      <c r="P18" s="13"/>
      <c r="Q18" s="13"/>
    </row>
    <row r="19" spans="1:17" x14ac:dyDescent="0.25">
      <c r="A19" s="13"/>
      <c r="B19" s="48" t="str">
        <f>_xlfn.TEXTJOIN(" ",TRUE,B9:J16)</f>
        <v>&lt;p&gt; Please find bug report &lt;STRONG&gt; BR-1-FN &lt;/STRONG&gt; attached to this message. &lt;/p&gt; &lt;p&gt;Brief problem description: все должно работать &lt;/p&gt;</v>
      </c>
      <c r="C19" s="48"/>
      <c r="D19" s="48"/>
      <c r="E19" s="48"/>
      <c r="F19" s="48"/>
      <c r="G19" s="48"/>
      <c r="H19" s="48"/>
      <c r="I19" s="48"/>
      <c r="J19" s="48"/>
      <c r="K19" s="15" t="s">
        <v>60</v>
      </c>
      <c r="L19" s="13"/>
      <c r="M19" s="13"/>
      <c r="N19" s="13"/>
      <c r="O19" s="13"/>
      <c r="P19" s="13"/>
      <c r="Q19" s="13"/>
    </row>
    <row r="20" spans="1:17" x14ac:dyDescent="0.25">
      <c r="A20" s="13"/>
      <c r="B20" s="48"/>
      <c r="C20" s="48"/>
      <c r="D20" s="48"/>
      <c r="E20" s="48"/>
      <c r="F20" s="48"/>
      <c r="G20" s="48"/>
      <c r="H20" s="48"/>
      <c r="I20" s="48"/>
      <c r="J20" s="48"/>
      <c r="K20" s="15" t="s">
        <v>61</v>
      </c>
      <c r="L20" s="13"/>
      <c r="M20" s="13"/>
      <c r="N20" s="13"/>
      <c r="O20" s="13"/>
      <c r="P20" s="13"/>
      <c r="Q20" s="13"/>
    </row>
    <row r="21" spans="1:17" x14ac:dyDescent="0.25">
      <c r="A21" s="13"/>
      <c r="B21" s="48"/>
      <c r="C21" s="48"/>
      <c r="D21" s="48"/>
      <c r="E21" s="48"/>
      <c r="F21" s="48"/>
      <c r="G21" s="48"/>
      <c r="H21" s="48"/>
      <c r="I21" s="48"/>
      <c r="J21" s="48"/>
      <c r="K21" s="15" t="s">
        <v>59</v>
      </c>
      <c r="L21" s="13"/>
      <c r="M21" s="13"/>
      <c r="N21" s="13"/>
      <c r="O21" s="13"/>
      <c r="P21" s="13"/>
      <c r="Q21" s="13"/>
    </row>
    <row r="22" spans="1:17" x14ac:dyDescent="0.25">
      <c r="A22" s="13"/>
      <c r="B22" s="48"/>
      <c r="C22" s="48"/>
      <c r="D22" s="48"/>
      <c r="E22" s="48"/>
      <c r="F22" s="48"/>
      <c r="G22" s="48"/>
      <c r="H22" s="48"/>
      <c r="I22" s="48"/>
      <c r="J22" s="48"/>
      <c r="K22" s="15"/>
      <c r="L22" s="13"/>
      <c r="M22" s="13"/>
      <c r="N22" s="13"/>
      <c r="O22" s="13"/>
      <c r="P22" s="13"/>
      <c r="Q22" s="13"/>
    </row>
    <row r="23" spans="1:17" x14ac:dyDescent="0.25">
      <c r="A23" s="13"/>
      <c r="B23" s="48"/>
      <c r="C23" s="48"/>
      <c r="D23" s="48"/>
      <c r="E23" s="48"/>
      <c r="F23" s="48"/>
      <c r="G23" s="48"/>
      <c r="H23" s="48"/>
      <c r="I23" s="48"/>
      <c r="J23" s="48"/>
      <c r="K23" s="15"/>
      <c r="L23" s="13"/>
      <c r="M23" s="13"/>
      <c r="N23" s="13"/>
      <c r="O23" s="13"/>
      <c r="P23" s="13"/>
      <c r="Q23" s="13"/>
    </row>
    <row r="24" spans="1:17" x14ac:dyDescent="0.25">
      <c r="A24" s="13"/>
      <c r="B24" s="48"/>
      <c r="C24" s="48"/>
      <c r="D24" s="48"/>
      <c r="E24" s="48"/>
      <c r="F24" s="48"/>
      <c r="G24" s="48"/>
      <c r="H24" s="48"/>
      <c r="I24" s="48"/>
      <c r="J24" s="48"/>
      <c r="K24" s="15"/>
      <c r="L24" s="13"/>
      <c r="M24" s="13"/>
      <c r="N24" s="13"/>
      <c r="O24" s="13"/>
      <c r="P24" s="13"/>
      <c r="Q24" s="13"/>
    </row>
    <row r="25" spans="1:17" x14ac:dyDescent="0.25">
      <c r="A25" s="13"/>
      <c r="B25" s="48"/>
      <c r="C25" s="48"/>
      <c r="D25" s="48"/>
      <c r="E25" s="48"/>
      <c r="F25" s="48"/>
      <c r="G25" s="48"/>
      <c r="H25" s="48"/>
      <c r="I25" s="48"/>
      <c r="J25" s="48"/>
      <c r="K25" s="15"/>
      <c r="L25" s="13"/>
      <c r="M25" s="13"/>
      <c r="N25" s="13"/>
      <c r="O25" s="13"/>
      <c r="P25" s="13"/>
      <c r="Q25" s="13"/>
    </row>
    <row r="26" spans="1:17" x14ac:dyDescent="0.25">
      <c r="A26" s="13"/>
      <c r="B26" s="48"/>
      <c r="C26" s="48"/>
      <c r="D26" s="48"/>
      <c r="E26" s="48"/>
      <c r="F26" s="48"/>
      <c r="G26" s="48"/>
      <c r="H26" s="48"/>
      <c r="I26" s="48"/>
      <c r="J26" s="48"/>
      <c r="K26" s="15"/>
      <c r="L26" s="13"/>
      <c r="M26" s="13"/>
      <c r="N26" s="13"/>
      <c r="O26" s="13"/>
      <c r="P26" s="13"/>
      <c r="Q26" s="13"/>
    </row>
    <row r="27" spans="1:17" x14ac:dyDescent="0.25">
      <c r="A27" s="13"/>
      <c r="B27" s="48"/>
      <c r="C27" s="48"/>
      <c r="D27" s="48"/>
      <c r="E27" s="48"/>
      <c r="F27" s="48"/>
      <c r="G27" s="48"/>
      <c r="H27" s="48"/>
      <c r="I27" s="48"/>
      <c r="J27" s="48"/>
      <c r="K27" s="15"/>
      <c r="L27" s="13"/>
      <c r="M27" s="13"/>
      <c r="N27" s="13"/>
      <c r="O27" s="13"/>
      <c r="P27" s="13"/>
      <c r="Q27" s="13"/>
    </row>
    <row r="28" spans="1:17" x14ac:dyDescent="0.25">
      <c r="A28" s="13"/>
      <c r="B28" s="48"/>
      <c r="C28" s="48"/>
      <c r="D28" s="48"/>
      <c r="E28" s="48"/>
      <c r="F28" s="48"/>
      <c r="G28" s="48"/>
      <c r="H28" s="48"/>
      <c r="I28" s="48"/>
      <c r="J28" s="48"/>
      <c r="K28" s="15"/>
      <c r="L28" s="13"/>
      <c r="M28" s="13"/>
      <c r="N28" s="13"/>
      <c r="O28" s="13"/>
      <c r="P28" s="13"/>
      <c r="Q28" s="13"/>
    </row>
    <row r="29" spans="1:17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5"/>
      <c r="L29" s="13"/>
      <c r="M29" s="13"/>
      <c r="N29" s="13"/>
      <c r="O29" s="13"/>
      <c r="P29" s="13"/>
      <c r="Q29" s="13"/>
    </row>
    <row r="30" spans="1:17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5"/>
      <c r="L30" s="13"/>
      <c r="M30" s="13"/>
      <c r="N30" s="13"/>
      <c r="O30" s="13"/>
      <c r="P30" s="13"/>
      <c r="Q30" s="13"/>
    </row>
    <row r="31" spans="1:17" x14ac:dyDescent="0.25">
      <c r="A31" s="13"/>
      <c r="B31" s="48" t="s">
        <v>67</v>
      </c>
      <c r="C31" s="48"/>
      <c r="D31" s="48"/>
      <c r="E31" s="48"/>
      <c r="F31" s="48"/>
      <c r="G31" s="48"/>
      <c r="H31" s="48"/>
      <c r="I31" s="48"/>
      <c r="J31" s="48"/>
      <c r="K31" s="15"/>
      <c r="L31" s="13"/>
      <c r="M31" s="13"/>
      <c r="N31" s="13"/>
      <c r="O31" s="13"/>
      <c r="P31" s="13"/>
      <c r="Q31" s="13"/>
    </row>
    <row r="32" spans="1:17" x14ac:dyDescent="0.25">
      <c r="A32" s="13"/>
      <c r="B32" s="48"/>
      <c r="C32" s="48"/>
      <c r="D32" s="48"/>
      <c r="E32" s="48"/>
      <c r="F32" s="48"/>
      <c r="G32" s="48"/>
      <c r="H32" s="48"/>
      <c r="I32" s="48"/>
      <c r="J32" s="48"/>
      <c r="K32" s="15" t="s">
        <v>62</v>
      </c>
      <c r="L32" s="13"/>
      <c r="M32" s="13"/>
      <c r="N32" s="13"/>
      <c r="O32" s="13"/>
      <c r="P32" s="13"/>
      <c r="Q32" s="13"/>
    </row>
    <row r="33" spans="1:17" x14ac:dyDescent="0.25">
      <c r="A33" s="13"/>
      <c r="B33" s="48"/>
      <c r="C33" s="48"/>
      <c r="D33" s="48"/>
      <c r="E33" s="48"/>
      <c r="F33" s="48"/>
      <c r="G33" s="48"/>
      <c r="H33" s="48"/>
      <c r="I33" s="48"/>
      <c r="J33" s="48"/>
      <c r="K33" s="15"/>
      <c r="L33" s="13"/>
      <c r="M33" s="13"/>
      <c r="N33" s="13"/>
      <c r="O33" s="13"/>
      <c r="P33" s="13"/>
      <c r="Q33" s="13"/>
    </row>
    <row r="34" spans="1:17" x14ac:dyDescent="0.25">
      <c r="A34" s="13"/>
      <c r="B34" s="48"/>
      <c r="C34" s="48"/>
      <c r="D34" s="48"/>
      <c r="E34" s="48"/>
      <c r="F34" s="48"/>
      <c r="G34" s="48"/>
      <c r="H34" s="48"/>
      <c r="I34" s="48"/>
      <c r="J34" s="48"/>
      <c r="K34" s="15"/>
      <c r="L34" s="13"/>
      <c r="M34" s="13"/>
      <c r="N34" s="13"/>
      <c r="O34" s="13"/>
      <c r="P34" s="13"/>
      <c r="Q34" s="13"/>
    </row>
    <row r="35" spans="1:17" x14ac:dyDescent="0.25">
      <c r="A35" s="13"/>
      <c r="B35" s="48"/>
      <c r="C35" s="48"/>
      <c r="D35" s="48"/>
      <c r="E35" s="48"/>
      <c r="F35" s="48"/>
      <c r="G35" s="48"/>
      <c r="H35" s="48"/>
      <c r="I35" s="48"/>
      <c r="J35" s="48"/>
      <c r="K35" s="15"/>
      <c r="L35" s="13"/>
      <c r="M35" s="13"/>
      <c r="N35" s="13"/>
      <c r="O35" s="13"/>
      <c r="P35" s="13"/>
      <c r="Q35" s="13"/>
    </row>
    <row r="36" spans="1:17" x14ac:dyDescent="0.25">
      <c r="A36" s="13"/>
      <c r="B36" s="48"/>
      <c r="C36" s="48"/>
      <c r="D36" s="48"/>
      <c r="E36" s="48"/>
      <c r="F36" s="48"/>
      <c r="G36" s="48"/>
      <c r="H36" s="48"/>
      <c r="I36" s="48"/>
      <c r="J36" s="48"/>
      <c r="K36" s="15"/>
      <c r="L36" s="13"/>
      <c r="M36" s="13"/>
      <c r="N36" s="13"/>
      <c r="O36" s="13"/>
      <c r="P36" s="13"/>
      <c r="Q36" s="13"/>
    </row>
    <row r="37" spans="1:17" x14ac:dyDescent="0.25">
      <c r="A37" s="13"/>
      <c r="B37" s="48"/>
      <c r="C37" s="48"/>
      <c r="D37" s="48"/>
      <c r="E37" s="48"/>
      <c r="F37" s="48"/>
      <c r="G37" s="48"/>
      <c r="H37" s="48"/>
      <c r="I37" s="48"/>
      <c r="J37" s="48"/>
      <c r="K37" s="15"/>
      <c r="L37" s="13"/>
      <c r="M37" s="13"/>
      <c r="N37" s="13"/>
      <c r="O37" s="13"/>
      <c r="P37" s="13"/>
      <c r="Q37" s="13"/>
    </row>
    <row r="38" spans="1:17" x14ac:dyDescent="0.25">
      <c r="A38" s="13"/>
      <c r="B38" s="48"/>
      <c r="C38" s="48"/>
      <c r="D38" s="48"/>
      <c r="E38" s="48"/>
      <c r="F38" s="48"/>
      <c r="G38" s="48"/>
      <c r="H38" s="48"/>
      <c r="I38" s="48"/>
      <c r="J38" s="48"/>
      <c r="K38" s="15"/>
      <c r="L38" s="13"/>
      <c r="M38" s="13"/>
      <c r="N38" s="13"/>
      <c r="O38" s="13"/>
      <c r="P38" s="13"/>
      <c r="Q38" s="13"/>
    </row>
    <row r="39" spans="1:17" x14ac:dyDescent="0.25">
      <c r="A39" s="13"/>
      <c r="B39" s="48"/>
      <c r="C39" s="48"/>
      <c r="D39" s="48"/>
      <c r="E39" s="48"/>
      <c r="F39" s="48"/>
      <c r="G39" s="48"/>
      <c r="H39" s="48"/>
      <c r="I39" s="48"/>
      <c r="J39" s="48"/>
      <c r="K39" s="15"/>
      <c r="L39" s="13"/>
      <c r="M39" s="13"/>
      <c r="N39" s="13"/>
      <c r="O39" s="13"/>
      <c r="P39" s="13"/>
      <c r="Q39" s="13"/>
    </row>
    <row r="40" spans="1:17" x14ac:dyDescent="0.25">
      <c r="A40" s="13"/>
      <c r="B40" s="48"/>
      <c r="C40" s="48"/>
      <c r="D40" s="48"/>
      <c r="E40" s="48"/>
      <c r="F40" s="48"/>
      <c r="G40" s="48"/>
      <c r="H40" s="48"/>
      <c r="I40" s="48"/>
      <c r="J40" s="48"/>
      <c r="K40" s="15"/>
      <c r="L40" s="13"/>
      <c r="M40" s="13"/>
      <c r="N40" s="13"/>
      <c r="O40" s="13"/>
      <c r="P40" s="13"/>
      <c r="Q40" s="13"/>
    </row>
    <row r="41" spans="1:17" ht="45.75" customHeight="1" x14ac:dyDescent="0.25">
      <c r="A41" s="13"/>
      <c r="B41" s="48"/>
      <c r="C41" s="48"/>
      <c r="D41" s="48"/>
      <c r="E41" s="48"/>
      <c r="F41" s="48"/>
      <c r="G41" s="48"/>
      <c r="H41" s="48"/>
      <c r="I41" s="48"/>
      <c r="J41" s="48"/>
      <c r="K41" s="15"/>
      <c r="L41" s="13"/>
      <c r="M41" s="13"/>
      <c r="N41" s="13"/>
      <c r="O41" s="13"/>
      <c r="P41" s="13"/>
      <c r="Q41" s="13"/>
    </row>
    <row r="42" spans="1:17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5"/>
      <c r="L42" s="13"/>
      <c r="M42" s="13"/>
      <c r="N42" s="13"/>
      <c r="O42" s="13"/>
      <c r="P42" s="13"/>
      <c r="Q42" s="13"/>
    </row>
    <row r="43" spans="1:17" x14ac:dyDescent="0.25">
      <c r="A43" s="13"/>
      <c r="B43" s="47" t="s">
        <v>78</v>
      </c>
      <c r="C43" s="47"/>
      <c r="D43" s="47"/>
      <c r="E43" s="47"/>
      <c r="F43" s="47"/>
      <c r="G43" s="47"/>
      <c r="H43" s="47"/>
      <c r="I43" s="47"/>
      <c r="J43" s="47"/>
      <c r="K43" s="15"/>
      <c r="L43" s="13"/>
      <c r="M43" s="13"/>
      <c r="N43" s="13"/>
      <c r="O43" s="13"/>
      <c r="P43" s="13"/>
      <c r="Q43" s="13"/>
    </row>
    <row r="44" spans="1:17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5"/>
      <c r="L44" s="13"/>
      <c r="M44" s="13"/>
      <c r="N44" s="13"/>
      <c r="O44" s="13"/>
      <c r="P44" s="13"/>
      <c r="Q44" s="13"/>
    </row>
    <row r="45" spans="1:17" x14ac:dyDescent="0.25">
      <c r="A45" s="13"/>
      <c r="B45" s="44" t="s">
        <v>77</v>
      </c>
      <c r="C45" s="44"/>
      <c r="D45" s="44"/>
      <c r="E45" s="44"/>
      <c r="F45" s="44"/>
      <c r="G45" s="44"/>
      <c r="H45" s="44"/>
      <c r="I45" s="44"/>
      <c r="J45" s="44"/>
      <c r="K45" s="15" t="s">
        <v>63</v>
      </c>
      <c r="L45" s="13"/>
      <c r="M45" s="13"/>
      <c r="N45" s="13"/>
      <c r="O45" s="13"/>
      <c r="P45" s="13"/>
      <c r="Q45" s="13"/>
    </row>
    <row r="46" spans="1:17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5"/>
      <c r="L46" s="13"/>
      <c r="M46" s="13"/>
      <c r="N46" s="13"/>
      <c r="O46" s="13"/>
      <c r="P46" s="13"/>
      <c r="Q46" s="13"/>
    </row>
    <row r="47" spans="1:17" x14ac:dyDescent="0.25">
      <c r="A47" s="13"/>
      <c r="B47" s="44" t="s">
        <v>92</v>
      </c>
      <c r="C47" s="44"/>
      <c r="D47" s="44"/>
      <c r="E47" s="44"/>
      <c r="F47" s="44"/>
      <c r="G47" s="44"/>
      <c r="H47" s="44"/>
      <c r="I47" s="44"/>
      <c r="J47" s="44"/>
      <c r="K47" s="15" t="s">
        <v>64</v>
      </c>
      <c r="L47" s="13"/>
      <c r="M47" s="13"/>
      <c r="N47" s="13"/>
      <c r="O47" s="13"/>
      <c r="P47" s="13"/>
      <c r="Q47" s="13"/>
    </row>
    <row r="48" spans="1:17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5"/>
      <c r="L48" s="13"/>
      <c r="M48" s="13"/>
      <c r="N48" s="13"/>
      <c r="O48" s="13"/>
      <c r="P48" s="13"/>
      <c r="Q48" s="13"/>
    </row>
    <row r="49" spans="1:17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5"/>
      <c r="L49" s="13"/>
      <c r="M49" s="13"/>
      <c r="N49" s="13"/>
      <c r="O49" s="13"/>
      <c r="P49" s="13"/>
      <c r="Q49" s="13"/>
    </row>
  </sheetData>
  <mergeCells count="11">
    <mergeCell ref="B45:J45"/>
    <mergeCell ref="B47:J47"/>
    <mergeCell ref="B7:J7"/>
    <mergeCell ref="B10:J10"/>
    <mergeCell ref="B11:J11"/>
    <mergeCell ref="B12:J12"/>
    <mergeCell ref="B43:J43"/>
    <mergeCell ref="B19:J28"/>
    <mergeCell ref="B31:J41"/>
    <mergeCell ref="B14:J14"/>
    <mergeCell ref="B15:J1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test cases</vt:lpstr>
      <vt:lpstr>bug-report template</vt:lpstr>
      <vt:lpstr>srvc_project</vt:lpstr>
      <vt:lpstr>site pages</vt:lpstr>
      <vt:lpstr>dict</vt:lpstr>
      <vt:lpstr>email_templates</vt:lpstr>
      <vt:lpstr>APP_NAME</vt:lpstr>
      <vt:lpstr>ATTCH_PATH</vt:lpstr>
      <vt:lpstr>BODY_MSG</vt:lpstr>
      <vt:lpstr>BUG_REP_ID</vt:lpstr>
      <vt:lpstr>CLIENT_EMAIL</vt:lpstr>
      <vt:lpstr>CLIENT_FNAME</vt:lpstr>
      <vt:lpstr>CLIENT_NAME</vt:lpstr>
      <vt:lpstr>FOOTER_MSG</vt:lpstr>
      <vt:lpstr>HEADER_MSG</vt:lpstr>
      <vt:lpstr>ISSUE_BRIEF_DESCRIPTION</vt:lpstr>
      <vt:lpstr>LIST_COMPONENTS</vt:lpstr>
      <vt:lpstr>MAIL_ACCOUNT</vt:lpstr>
      <vt:lpstr>MSG_SUBJECT</vt:lpstr>
      <vt:lpstr>SELECT_BROWSER</vt:lpstr>
      <vt:lpstr>SELECT_COUNTRY</vt:lpstr>
      <vt:lpstr>SELECT_ISSUE_STATUS</vt:lpstr>
      <vt:lpstr>SELECT_OS</vt:lpstr>
      <vt:lpstr>SELECT_SEVERITY</vt:lpstr>
      <vt:lpstr>SELECT_TEST_TYPE</vt:lpstr>
      <vt:lpstr>TEST_CASES_SHEET</vt:lpstr>
      <vt:lpstr>TEST_RESULTS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Egor Ivanov</dc:creator>
  <cp:lastModifiedBy>Egor Ivanov</cp:lastModifiedBy>
  <cp:lastPrinted>2020-10-17T11:08:32Z</cp:lastPrinted>
  <dcterms:created xsi:type="dcterms:W3CDTF">2020-10-09T14:27:23Z</dcterms:created>
  <dcterms:modified xsi:type="dcterms:W3CDTF">2020-10-17T12:28:11Z</dcterms:modified>
</cp:coreProperties>
</file>